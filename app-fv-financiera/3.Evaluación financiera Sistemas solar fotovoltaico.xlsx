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e995c0f2dbaca07/Clase 2026/Taller Solar/Taller 3/"/>
    </mc:Choice>
  </mc:AlternateContent>
  <xr:revisionPtr revIDLastSave="74" documentId="8_{8CB96E5E-CB51-4E64-AD75-D7779E933892}" xr6:coauthVersionLast="47" xr6:coauthVersionMax="47" xr10:uidLastSave="{855A2D47-AF8B-4FAE-8F65-8DFE2657C2D5}"/>
  <bookViews>
    <workbookView xWindow="-105" yWindow="0" windowWidth="14595" windowHeight="15585" tabRatio="633" firstSheet="1" activeTab="1" xr2:uid="{00000000-000D-0000-FFFF-FFFF00000000}"/>
  </bookViews>
  <sheets>
    <sheet name="Claude Log" sheetId="7" state="hidden" r:id="rId1"/>
    <sheet name="1_ENTRADA" sheetId="1" r:id="rId2"/>
    <sheet name="2_CALC_KWH" sheetId="2" r:id="rId3"/>
    <sheet name="3_FLUJO_CAJA" sheetId="3" r:id="rId4"/>
    <sheet name="4_INDICADORES" sheetId="4" r:id="rId5"/>
    <sheet name="5_AMORTIZACION" sheetId="5" r:id="rId6"/>
    <sheet name="6_RESUMEN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4" l="1"/>
  <c r="D11" i="4"/>
  <c r="B4" i="4"/>
  <c r="A27" i="3"/>
  <c r="D6" i="4"/>
  <c r="D5" i="4"/>
  <c r="D4" i="4"/>
  <c r="B6" i="4"/>
  <c r="I10" i="3" l="1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H10" i="3"/>
  <c r="I15" i="3"/>
  <c r="I22" i="3" s="1"/>
  <c r="J15" i="3"/>
  <c r="J22" i="3" s="1"/>
  <c r="K15" i="3"/>
  <c r="K22" i="3" s="1"/>
  <c r="L15" i="3"/>
  <c r="L22" i="3" s="1"/>
  <c r="M15" i="3"/>
  <c r="M22" i="3" s="1"/>
  <c r="N15" i="3"/>
  <c r="N22" i="3" s="1"/>
  <c r="O15" i="3"/>
  <c r="O22" i="3" s="1"/>
  <c r="P15" i="3"/>
  <c r="P22" i="3" s="1"/>
  <c r="Q15" i="3"/>
  <c r="Q22" i="3" s="1"/>
  <c r="R15" i="3"/>
  <c r="R22" i="3" s="1"/>
  <c r="S15" i="3"/>
  <c r="S22" i="3" s="1"/>
  <c r="T15" i="3"/>
  <c r="T22" i="3" s="1"/>
  <c r="U15" i="3"/>
  <c r="U22" i="3" s="1"/>
  <c r="V15" i="3"/>
  <c r="V22" i="3" s="1"/>
  <c r="W15" i="3"/>
  <c r="W22" i="3" s="1"/>
  <c r="X15" i="3"/>
  <c r="X22" i="3" s="1"/>
  <c r="Y15" i="3"/>
  <c r="Y22" i="3" s="1"/>
  <c r="Z15" i="3"/>
  <c r="Z22" i="3" s="1"/>
  <c r="AA15" i="3"/>
  <c r="AA22" i="3" s="1"/>
  <c r="H15" i="3"/>
  <c r="H22" i="3" s="1"/>
  <c r="E34" i="1"/>
  <c r="B28" i="6"/>
  <c r="C11" i="6"/>
  <c r="C6" i="6"/>
  <c r="C5" i="6"/>
  <c r="C4" i="6"/>
  <c r="C3" i="6"/>
  <c r="E36" i="5"/>
  <c r="D36" i="5"/>
  <c r="F35" i="5"/>
  <c r="E35" i="5"/>
  <c r="D35" i="5"/>
  <c r="F34" i="5"/>
  <c r="E34" i="5"/>
  <c r="D34" i="5"/>
  <c r="F33" i="5"/>
  <c r="D33" i="5"/>
  <c r="F32" i="5"/>
  <c r="E32" i="5"/>
  <c r="D32" i="5"/>
  <c r="F31" i="5"/>
  <c r="E31" i="5"/>
  <c r="D31" i="5"/>
  <c r="F30" i="5"/>
  <c r="E30" i="5"/>
  <c r="F29" i="5"/>
  <c r="E29" i="5"/>
  <c r="D29" i="5"/>
  <c r="E28" i="5"/>
  <c r="D28" i="5"/>
  <c r="F27" i="5"/>
  <c r="E27" i="5"/>
  <c r="D27" i="5"/>
  <c r="F26" i="5"/>
  <c r="E26" i="5"/>
  <c r="D26" i="5"/>
  <c r="F25" i="5"/>
  <c r="D25" i="5"/>
  <c r="F24" i="5"/>
  <c r="E24" i="5"/>
  <c r="D24" i="5"/>
  <c r="F23" i="5"/>
  <c r="E23" i="5"/>
  <c r="D23" i="5"/>
  <c r="F22" i="5"/>
  <c r="E22" i="5"/>
  <c r="F21" i="5"/>
  <c r="E21" i="5"/>
  <c r="D21" i="5"/>
  <c r="E20" i="5"/>
  <c r="D20" i="5"/>
  <c r="F19" i="5"/>
  <c r="E19" i="5"/>
  <c r="D19" i="5"/>
  <c r="F18" i="5"/>
  <c r="E18" i="5"/>
  <c r="D18" i="5"/>
  <c r="F17" i="5"/>
  <c r="D17" i="5"/>
  <c r="C6" i="5"/>
  <c r="F36" i="5" s="1"/>
  <c r="C5" i="5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E11" i="3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D11" i="3"/>
  <c r="C11" i="3"/>
  <c r="C21" i="2"/>
  <c r="C22" i="2" s="1"/>
  <c r="C9" i="2"/>
  <c r="C8" i="2"/>
  <c r="C7" i="2"/>
  <c r="C5" i="2"/>
  <c r="C4" i="2"/>
  <c r="C47" i="1"/>
  <c r="E46" i="1"/>
  <c r="E45" i="1"/>
  <c r="E44" i="1"/>
  <c r="E43" i="1"/>
  <c r="E42" i="1"/>
  <c r="E41" i="1"/>
  <c r="E40" i="1"/>
  <c r="E39" i="1"/>
  <c r="E38" i="1"/>
  <c r="E37" i="1"/>
  <c r="E36" i="1"/>
  <c r="E35" i="1"/>
  <c r="C19" i="1"/>
  <c r="C15" i="1"/>
  <c r="E47" i="1" l="1"/>
  <c r="G15" i="3" s="1"/>
  <c r="G22" i="3" s="1"/>
  <c r="C13" i="2"/>
  <c r="C6" i="2"/>
  <c r="C17" i="2"/>
  <c r="W9" i="3" s="1"/>
  <c r="C9" i="6"/>
  <c r="C27" i="2"/>
  <c r="C18" i="4" s="1"/>
  <c r="J9" i="3"/>
  <c r="V9" i="3"/>
  <c r="C19" i="4"/>
  <c r="C15" i="2"/>
  <c r="C10" i="6"/>
  <c r="C14" i="2"/>
  <c r="H9" i="3"/>
  <c r="C66" i="1"/>
  <c r="E17" i="5"/>
  <c r="F20" i="5"/>
  <c r="D22" i="5"/>
  <c r="E25" i="5"/>
  <c r="F28" i="5"/>
  <c r="D30" i="5"/>
  <c r="E33" i="5"/>
  <c r="U14" i="3" l="1"/>
  <c r="U17" i="3" s="1"/>
  <c r="J14" i="3"/>
  <c r="J17" i="3" s="1"/>
  <c r="D15" i="3"/>
  <c r="D22" i="3" s="1"/>
  <c r="E15" i="3"/>
  <c r="E22" i="3" s="1"/>
  <c r="X14" i="3"/>
  <c r="X17" i="3" s="1"/>
  <c r="O14" i="3"/>
  <c r="O17" i="3" s="1"/>
  <c r="I14" i="3"/>
  <c r="I17" i="3" s="1"/>
  <c r="AA14" i="3"/>
  <c r="AA17" i="3" s="1"/>
  <c r="E14" i="3"/>
  <c r="W14" i="3"/>
  <c r="W17" i="3" s="1"/>
  <c r="Q14" i="3"/>
  <c r="Q17" i="3" s="1"/>
  <c r="L14" i="3"/>
  <c r="L17" i="3" s="1"/>
  <c r="D14" i="3"/>
  <c r="C13" i="4"/>
  <c r="F15" i="3"/>
  <c r="F22" i="3" s="1"/>
  <c r="C16" i="6"/>
  <c r="M14" i="3"/>
  <c r="M17" i="3" s="1"/>
  <c r="F14" i="3"/>
  <c r="R14" i="3"/>
  <c r="R17" i="3" s="1"/>
  <c r="C15" i="3"/>
  <c r="C22" i="3" s="1"/>
  <c r="K14" i="3"/>
  <c r="K17" i="3" s="1"/>
  <c r="Y14" i="3"/>
  <c r="Y17" i="3" s="1"/>
  <c r="H14" i="3"/>
  <c r="H17" i="3" s="1"/>
  <c r="N14" i="3"/>
  <c r="N17" i="3" s="1"/>
  <c r="C14" i="3"/>
  <c r="T14" i="3"/>
  <c r="T17" i="3" s="1"/>
  <c r="Z14" i="3"/>
  <c r="Z17" i="3" s="1"/>
  <c r="B4" i="3"/>
  <c r="E48" i="1"/>
  <c r="E49" i="1" s="1"/>
  <c r="C18" i="6" s="1"/>
  <c r="G14" i="3"/>
  <c r="V14" i="3"/>
  <c r="V17" i="3" s="1"/>
  <c r="P14" i="3"/>
  <c r="P17" i="3" s="1"/>
  <c r="S14" i="3"/>
  <c r="S17" i="3" s="1"/>
  <c r="C49" i="1"/>
  <c r="C10" i="3"/>
  <c r="E10" i="3"/>
  <c r="N9" i="3"/>
  <c r="Y9" i="3"/>
  <c r="I9" i="3"/>
  <c r="O9" i="3"/>
  <c r="D9" i="3"/>
  <c r="L9" i="3"/>
  <c r="R9" i="3"/>
  <c r="T9" i="3"/>
  <c r="Z9" i="3"/>
  <c r="C9" i="3"/>
  <c r="Q9" i="3"/>
  <c r="E9" i="3"/>
  <c r="K9" i="3"/>
  <c r="U9" i="3"/>
  <c r="S9" i="3"/>
  <c r="M9" i="3"/>
  <c r="P9" i="3"/>
  <c r="F9" i="3"/>
  <c r="AA9" i="3"/>
  <c r="X9" i="3"/>
  <c r="C21" i="1"/>
  <c r="C16" i="2"/>
  <c r="C23" i="2" s="1"/>
  <c r="G9" i="3"/>
  <c r="C24" i="2"/>
  <c r="E16" i="3"/>
  <c r="D16" i="3"/>
  <c r="C4" i="5"/>
  <c r="C16" i="3"/>
  <c r="G16" i="3"/>
  <c r="F16" i="3"/>
  <c r="B5" i="3"/>
  <c r="C69" i="1"/>
  <c r="C20" i="4"/>
  <c r="C12" i="6"/>
  <c r="G17" i="3" l="1"/>
  <c r="B6" i="3"/>
  <c r="B24" i="3" s="1"/>
  <c r="F17" i="3"/>
  <c r="C17" i="3"/>
  <c r="D17" i="3"/>
  <c r="E17" i="3"/>
  <c r="D10" i="3"/>
  <c r="C15" i="4"/>
  <c r="G10" i="3"/>
  <c r="F10" i="3"/>
  <c r="C17" i="6"/>
  <c r="C14" i="4"/>
  <c r="C25" i="2"/>
  <c r="C70" i="1"/>
  <c r="C6" i="4" s="1"/>
  <c r="C11" i="5"/>
  <c r="C7" i="5"/>
  <c r="G11" i="5"/>
  <c r="C12" i="5" s="1"/>
  <c r="B25" i="3"/>
  <c r="B27" i="3"/>
  <c r="B28" i="3" s="1"/>
  <c r="C26" i="2" l="1"/>
  <c r="C13" i="6"/>
  <c r="C16" i="4"/>
  <c r="C12" i="4"/>
  <c r="C25" i="6" s="1"/>
  <c r="E12" i="5"/>
  <c r="D12" i="5"/>
  <c r="D15" i="5"/>
  <c r="D13" i="5"/>
  <c r="D16" i="5"/>
  <c r="C8" i="5"/>
  <c r="D14" i="5"/>
  <c r="C8" i="3" l="1"/>
  <c r="C12" i="3" s="1"/>
  <c r="S8" i="3"/>
  <c r="S12" i="3" s="1"/>
  <c r="S19" i="3" s="1"/>
  <c r="S20" i="3" s="1"/>
  <c r="S21" i="3" s="1"/>
  <c r="S23" i="3" s="1"/>
  <c r="S24" i="3" s="1"/>
  <c r="S27" i="3" s="1"/>
  <c r="M8" i="3"/>
  <c r="M12" i="3" s="1"/>
  <c r="M19" i="3" s="1"/>
  <c r="M20" i="3" s="1"/>
  <c r="M21" i="3" s="1"/>
  <c r="M23" i="3" s="1"/>
  <c r="M24" i="3" s="1"/>
  <c r="M27" i="3" s="1"/>
  <c r="K8" i="3"/>
  <c r="K12" i="3" s="1"/>
  <c r="K19" i="3" s="1"/>
  <c r="K20" i="3" s="1"/>
  <c r="K21" i="3" s="1"/>
  <c r="K23" i="3" s="1"/>
  <c r="K24" i="3" s="1"/>
  <c r="K27" i="3" s="1"/>
  <c r="E8" i="3"/>
  <c r="E12" i="3" s="1"/>
  <c r="E19" i="3" s="1"/>
  <c r="E20" i="3" s="1"/>
  <c r="E21" i="3" s="1"/>
  <c r="E23" i="3" s="1"/>
  <c r="E24" i="3" s="1"/>
  <c r="E27" i="3" s="1"/>
  <c r="H8" i="3"/>
  <c r="H12" i="3" s="1"/>
  <c r="H19" i="3" s="1"/>
  <c r="H20" i="3" s="1"/>
  <c r="H21" i="3" s="1"/>
  <c r="H23" i="3" s="1"/>
  <c r="H24" i="3" s="1"/>
  <c r="H27" i="3" s="1"/>
  <c r="R8" i="3"/>
  <c r="R12" i="3" s="1"/>
  <c r="R19" i="3" s="1"/>
  <c r="R20" i="3" s="1"/>
  <c r="R21" i="3" s="1"/>
  <c r="R23" i="3" s="1"/>
  <c r="R24" i="3" s="1"/>
  <c r="R27" i="3" s="1"/>
  <c r="W8" i="3"/>
  <c r="W12" i="3" s="1"/>
  <c r="W19" i="3" s="1"/>
  <c r="W20" i="3" s="1"/>
  <c r="W21" i="3" s="1"/>
  <c r="W23" i="3" s="1"/>
  <c r="W24" i="3" s="1"/>
  <c r="W27" i="3" s="1"/>
  <c r="C17" i="4"/>
  <c r="O8" i="3"/>
  <c r="O12" i="3" s="1"/>
  <c r="O19" i="3" s="1"/>
  <c r="O20" i="3" s="1"/>
  <c r="O21" i="3" s="1"/>
  <c r="O23" i="3" s="1"/>
  <c r="O24" i="3" s="1"/>
  <c r="O27" i="3" s="1"/>
  <c r="I8" i="3"/>
  <c r="I12" i="3" s="1"/>
  <c r="I19" i="3" s="1"/>
  <c r="I20" i="3" s="1"/>
  <c r="I21" i="3" s="1"/>
  <c r="I23" i="3" s="1"/>
  <c r="I24" i="3" s="1"/>
  <c r="I27" i="3" s="1"/>
  <c r="V8" i="3"/>
  <c r="V12" i="3" s="1"/>
  <c r="V19" i="3" s="1"/>
  <c r="V20" i="3" s="1"/>
  <c r="V21" i="3" s="1"/>
  <c r="V23" i="3" s="1"/>
  <c r="V24" i="3" s="1"/>
  <c r="V27" i="3" s="1"/>
  <c r="Q8" i="3"/>
  <c r="Q12" i="3" s="1"/>
  <c r="Q19" i="3" s="1"/>
  <c r="Q20" i="3" s="1"/>
  <c r="Q21" i="3" s="1"/>
  <c r="Q23" i="3" s="1"/>
  <c r="Q24" i="3" s="1"/>
  <c r="Q27" i="3" s="1"/>
  <c r="L8" i="3"/>
  <c r="L12" i="3" s="1"/>
  <c r="L19" i="3" s="1"/>
  <c r="L20" i="3" s="1"/>
  <c r="L21" i="3" s="1"/>
  <c r="L23" i="3" s="1"/>
  <c r="L24" i="3" s="1"/>
  <c r="L27" i="3" s="1"/>
  <c r="Z8" i="3"/>
  <c r="Z12" i="3" s="1"/>
  <c r="Z19" i="3" s="1"/>
  <c r="Z20" i="3" s="1"/>
  <c r="Z21" i="3" s="1"/>
  <c r="Z23" i="3" s="1"/>
  <c r="Z24" i="3" s="1"/>
  <c r="Z27" i="3" s="1"/>
  <c r="AA8" i="3"/>
  <c r="AA12" i="3" s="1"/>
  <c r="AA19" i="3" s="1"/>
  <c r="AA20" i="3" s="1"/>
  <c r="AA21" i="3" s="1"/>
  <c r="AA23" i="3" s="1"/>
  <c r="AA24" i="3" s="1"/>
  <c r="AA27" i="3" s="1"/>
  <c r="X8" i="3"/>
  <c r="X12" i="3" s="1"/>
  <c r="X19" i="3" s="1"/>
  <c r="X20" i="3" s="1"/>
  <c r="X21" i="3" s="1"/>
  <c r="X23" i="3" s="1"/>
  <c r="X24" i="3" s="1"/>
  <c r="X27" i="3" s="1"/>
  <c r="Y8" i="3"/>
  <c r="Y12" i="3" s="1"/>
  <c r="Y19" i="3" s="1"/>
  <c r="Y20" i="3" s="1"/>
  <c r="Y21" i="3" s="1"/>
  <c r="Y23" i="3" s="1"/>
  <c r="Y24" i="3" s="1"/>
  <c r="Y27" i="3" s="1"/>
  <c r="G8" i="3"/>
  <c r="G12" i="3" s="1"/>
  <c r="G19" i="3" s="1"/>
  <c r="G20" i="3" s="1"/>
  <c r="G21" i="3" s="1"/>
  <c r="G23" i="3" s="1"/>
  <c r="G24" i="3" s="1"/>
  <c r="G27" i="3" s="1"/>
  <c r="T8" i="3"/>
  <c r="T12" i="3" s="1"/>
  <c r="T19" i="3" s="1"/>
  <c r="T20" i="3" s="1"/>
  <c r="T21" i="3" s="1"/>
  <c r="T23" i="3" s="1"/>
  <c r="T24" i="3" s="1"/>
  <c r="T27" i="3" s="1"/>
  <c r="N8" i="3"/>
  <c r="N12" i="3" s="1"/>
  <c r="N19" i="3" s="1"/>
  <c r="N20" i="3" s="1"/>
  <c r="N21" i="3" s="1"/>
  <c r="N23" i="3" s="1"/>
  <c r="N24" i="3" s="1"/>
  <c r="N27" i="3" s="1"/>
  <c r="P8" i="3"/>
  <c r="P12" i="3" s="1"/>
  <c r="P19" i="3" s="1"/>
  <c r="P20" i="3" s="1"/>
  <c r="P21" i="3" s="1"/>
  <c r="P23" i="3" s="1"/>
  <c r="P24" i="3" s="1"/>
  <c r="P27" i="3" s="1"/>
  <c r="D8" i="3"/>
  <c r="D12" i="3" s="1"/>
  <c r="D19" i="3" s="1"/>
  <c r="D20" i="3" s="1"/>
  <c r="D21" i="3" s="1"/>
  <c r="D23" i="3" s="1"/>
  <c r="D24" i="3" s="1"/>
  <c r="D27" i="3" s="1"/>
  <c r="F8" i="3"/>
  <c r="F12" i="3" s="1"/>
  <c r="F19" i="3" s="1"/>
  <c r="F20" i="3" s="1"/>
  <c r="F21" i="3" s="1"/>
  <c r="F23" i="3" s="1"/>
  <c r="F24" i="3" s="1"/>
  <c r="F27" i="3" s="1"/>
  <c r="J8" i="3"/>
  <c r="J12" i="3" s="1"/>
  <c r="J19" i="3" s="1"/>
  <c r="J20" i="3" s="1"/>
  <c r="J21" i="3" s="1"/>
  <c r="J23" i="3" s="1"/>
  <c r="J24" i="3" s="1"/>
  <c r="J27" i="3" s="1"/>
  <c r="U8" i="3"/>
  <c r="U12" i="3" s="1"/>
  <c r="U19" i="3" s="1"/>
  <c r="U20" i="3" s="1"/>
  <c r="U21" i="3" s="1"/>
  <c r="U23" i="3" s="1"/>
  <c r="U24" i="3" s="1"/>
  <c r="U27" i="3" s="1"/>
  <c r="D37" i="5"/>
  <c r="F12" i="5"/>
  <c r="C19" i="3" l="1"/>
  <c r="C20" i="3" s="1"/>
  <c r="C21" i="3" s="1"/>
  <c r="C23" i="3" s="1"/>
  <c r="C24" i="3" s="1"/>
  <c r="C27" i="3" s="1"/>
  <c r="C28" i="3" s="1"/>
  <c r="C8" i="4"/>
  <c r="G12" i="5"/>
  <c r="C13" i="5" s="1"/>
  <c r="C9" i="4"/>
  <c r="D28" i="4" s="1"/>
  <c r="C5" i="4" l="1"/>
  <c r="C7" i="4" s="1"/>
  <c r="C25" i="3"/>
  <c r="D25" i="3" s="1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C4" i="4"/>
  <c r="C25" i="4" s="1"/>
  <c r="D27" i="4"/>
  <c r="C21" i="6"/>
  <c r="C27" i="4"/>
  <c r="D28" i="3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C28" i="4"/>
  <c r="C22" i="6"/>
  <c r="E13" i="5"/>
  <c r="C19" i="6" l="1"/>
  <c r="D25" i="4"/>
  <c r="C26" i="4"/>
  <c r="C20" i="6"/>
  <c r="D26" i="4"/>
  <c r="C11" i="4" a="1"/>
  <c r="C11" i="4" s="1"/>
  <c r="C24" i="6" s="1"/>
  <c r="C10" i="4" a="1"/>
  <c r="C10" i="4" s="1"/>
  <c r="C29" i="4" s="1"/>
  <c r="F13" i="5"/>
  <c r="C23" i="6" l="1"/>
  <c r="D29" i="4"/>
  <c r="G13" i="5"/>
  <c r="C14" i="5" s="1"/>
  <c r="E14" i="5" l="1"/>
  <c r="F14" i="5" l="1"/>
  <c r="G14" i="5" l="1"/>
  <c r="C15" i="5" s="1"/>
  <c r="E15" i="5" l="1"/>
  <c r="F15" i="5" l="1"/>
  <c r="G15" i="5" l="1"/>
  <c r="C16" i="5" s="1"/>
  <c r="E16" i="5" l="1"/>
  <c r="F16" i="5" l="1"/>
  <c r="E37" i="5"/>
  <c r="F37" i="5" l="1"/>
  <c r="G16" i="5"/>
  <c r="C17" i="5" s="1"/>
  <c r="G17" i="5" s="1"/>
  <c r="C18" i="5" s="1"/>
  <c r="G18" i="5" s="1"/>
  <c r="C19" i="5" s="1"/>
  <c r="G19" i="5" s="1"/>
  <c r="C20" i="5" s="1"/>
  <c r="G20" i="5" s="1"/>
  <c r="C21" i="5" s="1"/>
  <c r="G21" i="5" s="1"/>
  <c r="C22" i="5" s="1"/>
  <c r="G22" i="5" s="1"/>
  <c r="C23" i="5" s="1"/>
  <c r="G23" i="5" s="1"/>
  <c r="C24" i="5" s="1"/>
  <c r="G24" i="5" s="1"/>
  <c r="C25" i="5" s="1"/>
  <c r="G25" i="5" s="1"/>
  <c r="C26" i="5" s="1"/>
  <c r="G26" i="5" s="1"/>
  <c r="C27" i="5" s="1"/>
  <c r="G27" i="5" s="1"/>
  <c r="C28" i="5" s="1"/>
  <c r="G28" i="5" s="1"/>
  <c r="C29" i="5" s="1"/>
  <c r="G29" i="5" s="1"/>
  <c r="C30" i="5" s="1"/>
  <c r="G30" i="5" s="1"/>
  <c r="C31" i="5" s="1"/>
  <c r="G31" i="5" s="1"/>
  <c r="C32" i="5" s="1"/>
  <c r="G32" i="5" s="1"/>
  <c r="C33" i="5" s="1"/>
  <c r="G33" i="5" s="1"/>
  <c r="C34" i="5" s="1"/>
  <c r="G34" i="5" s="1"/>
  <c r="C35" i="5" s="1"/>
  <c r="G35" i="5" s="1"/>
  <c r="C36" i="5" s="1"/>
  <c r="G3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<sst xmlns="http://schemas.openxmlformats.org/spreadsheetml/2006/main" count="333" uniqueCount="258">
  <si>
    <t>☀  EVALUADOR FINANCIERO — PROYECTOS FOTOVOLTAICOS ON-GRID</t>
  </si>
  <si>
    <t>Texto azul = datos de entrada  |  Texto negro = fórmulas automáticas  |  Texto verde = vínculo entre hojas</t>
  </si>
  <si>
    <t xml:space="preserve">  A.  IDENTIFICACIÓN DEL PROYECTO</t>
  </si>
  <si>
    <t>PARÁMETRO</t>
  </si>
  <si>
    <t>VALOR</t>
  </si>
  <si>
    <t>UNIDAD</t>
  </si>
  <si>
    <t>NOTA / FUENTE</t>
  </si>
  <si>
    <t>Nombre del proyecto</t>
  </si>
  <si>
    <t>Proyecto Fotovoltaico On-Grid</t>
  </si>
  <si>
    <t>-</t>
  </si>
  <si>
    <t>Cliente</t>
  </si>
  <si>
    <t>Ubicación</t>
  </si>
  <si>
    <t>Operador de Red</t>
  </si>
  <si>
    <t>AIR-E</t>
  </si>
  <si>
    <t>Año de inicio de operación</t>
  </si>
  <si>
    <t>año</t>
  </si>
  <si>
    <t xml:space="preserve">  B.  PARÁMETROS TÉCNICOS DEL SISTEMA SOLAR</t>
  </si>
  <si>
    <t>Potencia pico del panel (Wp)</t>
  </si>
  <si>
    <t>Wp</t>
  </si>
  <si>
    <t>Ficha técnica del fabricante</t>
  </si>
  <si>
    <t>Número de paneles instalados</t>
  </si>
  <si>
    <t>und</t>
  </si>
  <si>
    <t>Según diseño técnico</t>
  </si>
  <si>
    <t>Potencia pico DC instalada (kWp)</t>
  </si>
  <si>
    <t>kWp</t>
  </si>
  <si>
    <t>paneles x Wp / 1000</t>
  </si>
  <si>
    <t>Potencia total del inversor (kW AC)</t>
  </si>
  <si>
    <t>kW</t>
  </si>
  <si>
    <t>Suma de inversores</t>
  </si>
  <si>
    <t>Horas de Irradiación Solar Pico (HSP)</t>
  </si>
  <si>
    <t>h/día</t>
  </si>
  <si>
    <t>ATLAS solar / histórico local</t>
  </si>
  <si>
    <t>Factor de rendimiento del sistema (PR)</t>
  </si>
  <si>
    <t>adim.</t>
  </si>
  <si>
    <t>Típico: 0.80 – 0.90</t>
  </si>
  <si>
    <t>Energía generada por el sistema / mes</t>
  </si>
  <si>
    <t>kWh/mes</t>
  </si>
  <si>
    <t>Calculado en hoja 2</t>
  </si>
  <si>
    <t>Consumo de la red eléctrica</t>
  </si>
  <si>
    <t>Promedio factura 12 meses</t>
  </si>
  <si>
    <t>Cobertura solar del consumo</t>
  </si>
  <si>
    <t>%</t>
  </si>
  <si>
    <t>Generación / Consumo</t>
  </si>
  <si>
    <t>Degradación panel — año 1</t>
  </si>
  <si>
    <t>%/año</t>
  </si>
  <si>
    <t>Garantía fabricante ≈ 2.5%</t>
  </si>
  <si>
    <t>Degradación panel — años 2-25</t>
  </si>
  <si>
    <t>Garantía fabricante ≈ 0.55%</t>
  </si>
  <si>
    <t xml:space="preserve">  C.  TARIFAS DE ENERGÍA</t>
  </si>
  <si>
    <t>Tarifa de compra de la red — CU ($/kWh)</t>
  </si>
  <si>
    <t>$/kWh</t>
  </si>
  <si>
    <t>Última factura de energía</t>
  </si>
  <si>
    <t>Precio excedentes a la red ($/kWh)</t>
  </si>
  <si>
    <t>Precio de bolsa XM — mercado spot</t>
  </si>
  <si>
    <t>Crecimiento tarifario anual (%)</t>
  </si>
  <si>
    <t>CREG — proyección sector eléctrico</t>
  </si>
  <si>
    <t>¿Hay excedentes inyectados a la red?</t>
  </si>
  <si>
    <t>SI</t>
  </si>
  <si>
    <t>SI/NO</t>
  </si>
  <si>
    <t>SI = neteo de excedentes</t>
  </si>
  <si>
    <t xml:space="preserve">  D.  PRESUPUESTO — INVERSIÓN INICIAL (CAPEX sin IVA)</t>
  </si>
  <si>
    <t>COMPONENTE</t>
  </si>
  <si>
    <t>VALOR SIN IVA (COP)</t>
  </si>
  <si>
    <t>IVA</t>
  </si>
  <si>
    <t>VALOR CON IVA (COP)</t>
  </si>
  <si>
    <t>Paneles solares</t>
  </si>
  <si>
    <t>Inversores / Datalogger</t>
  </si>
  <si>
    <t>Estructura de montaje</t>
  </si>
  <si>
    <t>Cables AC</t>
  </si>
  <si>
    <t>Cables DC y conectores MC4</t>
  </si>
  <si>
    <t>Tablero de protecciones</t>
  </si>
  <si>
    <t>Canalización AC/DC</t>
  </si>
  <si>
    <t>Medidor bidireccional</t>
  </si>
  <si>
    <t>Mano de obra e ingeniería</t>
  </si>
  <si>
    <t>Administración — AIU</t>
  </si>
  <si>
    <t>Imprevistos — AIU</t>
  </si>
  <si>
    <t>Utilidades — AIU</t>
  </si>
  <si>
    <t>Otros / Misceláneos</t>
  </si>
  <si>
    <t>TOTAL CAPEX SIN IVA</t>
  </si>
  <si>
    <t>Beneficio tributario Ley 1715 (% descuento renta)</t>
  </si>
  <si>
    <t>INVERSIÓN NETA EFECTIVA (CAPEX − Beneficio Ley 1715)</t>
  </si>
  <si>
    <t xml:space="preserve">  E.  PARÁMETROS FINANCIEROS DE EVALUACIÓN</t>
  </si>
  <si>
    <t>Vida útil del proyecto (años)</t>
  </si>
  <si>
    <t>años</t>
  </si>
  <si>
    <t>Garantía paneles 25-30 años</t>
  </si>
  <si>
    <t>Tasa mínima atractiva de retorno — TMAR (%)</t>
  </si>
  <si>
    <t>Costo de oportunidad del inversionista</t>
  </si>
  <si>
    <t>IPC / Inflación anual (%)</t>
  </si>
  <si>
    <t>DANE — inflación proyectada</t>
  </si>
  <si>
    <t>Crecimiento IPP — bienes de capital (%)</t>
  </si>
  <si>
    <t>DANE — referencia maquinaria solar</t>
  </si>
  <si>
    <t>AOM anual (% del CAPEX sin IVA)</t>
  </si>
  <si>
    <t>Operación, mantenimiento y limpieza</t>
  </si>
  <si>
    <t>Años de depreciación acelerada</t>
  </si>
  <si>
    <t>Incentivo Ley 1715 hasta 20%/año</t>
  </si>
  <si>
    <t>% activos depreciables sobre CAPEX</t>
  </si>
  <si>
    <t>Paneles + inversores / inversión total</t>
  </si>
  <si>
    <t>Impuesto de renta (%)</t>
  </si>
  <si>
    <t>Colombia — tarifa general 2024</t>
  </si>
  <si>
    <t xml:space="preserve">  F.  FINANCIAMIENTO  (deje en 0 si es 100% recursos propios)</t>
  </si>
  <si>
    <t>¿Proyecto con crédito bancario?</t>
  </si>
  <si>
    <t>Porcentaje a financiar con crédito (%)</t>
  </si>
  <si>
    <t>Típico: 60-80% del CAPEX neto</t>
  </si>
  <si>
    <t>Valor del crédito (COP)</t>
  </si>
  <si>
    <t>COP</t>
  </si>
  <si>
    <t>Calculado automáticamente</t>
  </si>
  <si>
    <t>Plazo del crédito (años)</t>
  </si>
  <si>
    <t>Tasa efectiva anual del crédito — TEA (%)</t>
  </si>
  <si>
    <t>%EA</t>
  </si>
  <si>
    <t>Banco — tasa pyme comercial</t>
  </si>
  <si>
    <t>Aporte propio del inversionista (COP)</t>
  </si>
  <si>
    <t>WACC — Costo promedio ponderado (%)</t>
  </si>
  <si>
    <t>🔆  CÁLCULO DEL SISTEMA SOLAR — GENERACIÓN Y AHORRO EN FACTURA</t>
  </si>
  <si>
    <t xml:space="preserve">  PARÁMETROS TÉCNICOS (vinculados de hoja 1)</t>
  </si>
  <si>
    <t>HSP — horas irradiación solar pico</t>
  </si>
  <si>
    <t>Factor de rendimiento PR</t>
  </si>
  <si>
    <t>Consumo de la red (kWh/mes)</t>
  </si>
  <si>
    <t xml:space="preserve">  GENERACIÓN ENERGÉTICA DEL SISTEMA SOLAR</t>
  </si>
  <si>
    <t>CONCEPTO</t>
  </si>
  <si>
    <t>Energía generada / mes (kWh/mes)</t>
  </si>
  <si>
    <t>Energía generada / año (kWh/año)</t>
  </si>
  <si>
    <t>kWh/año</t>
  </si>
  <si>
    <t>Cobertura solar del consumo (%)</t>
  </si>
  <si>
    <t>Autoconsumo estimado (kWh/mes)</t>
  </si>
  <si>
    <t>Excedentes a la red (kWh/mes)</t>
  </si>
  <si>
    <t xml:space="preserve">  AHORRO EN FACTURA — AÑO BASE (sin degradación)</t>
  </si>
  <si>
    <t>Tarifa de la red — CU ($/kWh)</t>
  </si>
  <si>
    <t>Valor factura actual (COP/mes)</t>
  </si>
  <si>
    <t>COP/mes</t>
  </si>
  <si>
    <t>Ahorro por autoconsumo (COP/mes)</t>
  </si>
  <si>
    <t>Ingreso por excedentes a la red (COP/mes)</t>
  </si>
  <si>
    <t>AHORRO TOTAL MENSUAL (COP/mes)</t>
  </si>
  <si>
    <t>AHORRO TOTAL ANUAL (COP/año)</t>
  </si>
  <si>
    <t>COP/año</t>
  </si>
  <si>
    <t>Costo por kWp instalado (COP/kWp)</t>
  </si>
  <si>
    <t>COP/kWp</t>
  </si>
  <si>
    <t>💰  FLUJO DE CAJA DEL PROYECTO — TÉRMINOS DEFLACTADOS (precios constantes año base)</t>
  </si>
  <si>
    <t>Año 0</t>
  </si>
  <si>
    <t xml:space="preserve">  I.  INVERSIÓN</t>
  </si>
  <si>
    <t>(+) Crédito bancario recibido</t>
  </si>
  <si>
    <t>FLUJO NETO DE INVERSIÓN</t>
  </si>
  <si>
    <t xml:space="preserve">  II.  INGRESOS Y BENEFICIOS</t>
  </si>
  <si>
    <t>Ahorro en factura — autoconsumo</t>
  </si>
  <si>
    <t>Ingreso por excedentes a la red</t>
  </si>
  <si>
    <t>Beneficio tributario Ley 1715</t>
  </si>
  <si>
    <t>Factor de degradación del panel</t>
  </si>
  <si>
    <t>TOTAL INGRESOS</t>
  </si>
  <si>
    <t xml:space="preserve">  III.  COSTOS OPERATIVOS (OPEX)</t>
  </si>
  <si>
    <t>AOM — Operación y mantenimiento</t>
  </si>
  <si>
    <t>Depreciación de activos</t>
  </si>
  <si>
    <t>Intereses del crédito bancario</t>
  </si>
  <si>
    <t>TOTAL COSTOS</t>
  </si>
  <si>
    <t xml:space="preserve">  IV.  FLUJO NETO</t>
  </si>
  <si>
    <t>Utilidad antes de impuestos</t>
  </si>
  <si>
    <t>(-) Impuesto de renta</t>
  </si>
  <si>
    <t>Utilidad neta</t>
  </si>
  <si>
    <t>(+) Depreciación (no es caja)</t>
  </si>
  <si>
    <t>FLUJO OPERACIONAL (caja)</t>
  </si>
  <si>
    <t>FLUJO FINANCIERO NETO</t>
  </si>
  <si>
    <t>FLUJO FINANCIERO ACUMULADO</t>
  </si>
  <si>
    <t>Factor deflactor (1+IPC)^n  — solo referencia</t>
  </si>
  <si>
    <t>FLUJO DESCONTADO ACUMULADO</t>
  </si>
  <si>
    <t>📊  INDICADORES FINANCIEROS — RESULTADO DE LA EVALUACIÓN</t>
  </si>
  <si>
    <t xml:space="preserve">  INDICADORES PRINCIPALES</t>
  </si>
  <si>
    <t>INDICADOR</t>
  </si>
  <si>
    <t>INTERPRETACIÓN</t>
  </si>
  <si>
    <t>TIR — Tasa Interna de Retorno (%)</t>
  </si>
  <si>
    <t>Criterio de decisión principal</t>
  </si>
  <si>
    <t>Relación Beneficio / Costo (B/C)</t>
  </si>
  <si>
    <t>B/C &gt; 1 → viable  |  B/C &lt; 1 → no viable</t>
  </si>
  <si>
    <t>ROI — Retorno sobre la Inversión (%)</t>
  </si>
  <si>
    <t>Retorno total neto sobre el CAPEX invertido</t>
  </si>
  <si>
    <t>Payback Simple — años de recuperación</t>
  </si>
  <si>
    <t>Años (con fracción) hasta recuperar la inversión — flujo acumulado</t>
  </si>
  <si>
    <t>Payback Descontado — años de recuperación</t>
  </si>
  <si>
    <t>WACC — Costo promedio de capital (%)</t>
  </si>
  <si>
    <t>Costo mixto ponderado de deuda y equity</t>
  </si>
  <si>
    <t>Inversión total bruta — CAPEX (COP)</t>
  </si>
  <si>
    <t>Beneficio tributario Ley 1715 (COP)</t>
  </si>
  <si>
    <t>Ahorro en impuesto de renta — 5 años</t>
  </si>
  <si>
    <t>Inversión neta efectiva (COP)</t>
  </si>
  <si>
    <t>CAPEX − beneficio tributario</t>
  </si>
  <si>
    <t>Ahorro mensual en factura — año base (COP)</t>
  </si>
  <si>
    <t>Sin degradación ni ajuste tarifario</t>
  </si>
  <si>
    <t>Ahorro anual en factura — año base (COP)</t>
  </si>
  <si>
    <t>Referencia mercado: $3.5M – $5.5M/kWp</t>
  </si>
  <si>
    <t>Energía generada / mes — año base (kWh)</t>
  </si>
  <si>
    <t xml:space="preserve">  TABLA DE DECISIÓN</t>
  </si>
  <si>
    <t>VALOR CALCULADO</t>
  </si>
  <si>
    <t>CRITERIO Y VEREDICTO</t>
  </si>
  <si>
    <t>VPN</t>
  </si>
  <si>
    <t>TIR</t>
  </si>
  <si>
    <t>B/C</t>
  </si>
  <si>
    <t>ROI</t>
  </si>
  <si>
    <t>Payback</t>
  </si>
  <si>
    <t>🏦  TABLA DE AMORTIZACIÓN DEL CRÉDITO BANCARIO</t>
  </si>
  <si>
    <t xml:space="preserve">  RESUMEN DEL CRÉDITO</t>
  </si>
  <si>
    <t>Tasa efectiva anual — TEA (%)</t>
  </si>
  <si>
    <t>Plazo (años)</t>
  </si>
  <si>
    <t>Cuota anual uniforme (COP)</t>
  </si>
  <si>
    <t>Cuota mensual equivalente</t>
  </si>
  <si>
    <t>AÑO</t>
  </si>
  <si>
    <t>SALDO INICIAL (COP)</t>
  </si>
  <si>
    <t>CUOTA ANUAL (COP)</t>
  </si>
  <si>
    <t>INTERESES (COP)</t>
  </si>
  <si>
    <t>AMORTIZACIÓN (COP)</t>
  </si>
  <si>
    <t>SALDO FINAL (COP)</t>
  </si>
  <si>
    <t>TOTALES</t>
  </si>
  <si>
    <t>☀  RESUMEN EJECUTIVO — PROYECTO FOTOVOLTAICO ON-GRID</t>
  </si>
  <si>
    <t xml:space="preserve">  DATOS DEL PROYECTO</t>
  </si>
  <si>
    <t>Nombre</t>
  </si>
  <si>
    <t xml:space="preserve">  PARÁMETROS TÉCNICOS</t>
  </si>
  <si>
    <t>Potencia pico instalada</t>
  </si>
  <si>
    <t>Energía generada / mes</t>
  </si>
  <si>
    <t>Consumo de la red / mes</t>
  </si>
  <si>
    <t>Cobertura solar</t>
  </si>
  <si>
    <t>Ahorro mensual año base</t>
  </si>
  <si>
    <t xml:space="preserve">  RESULTADOS FINANCIEROS</t>
  </si>
  <si>
    <t>Inversión total CAPEX</t>
  </si>
  <si>
    <t>Beneficio Ley 1715</t>
  </si>
  <si>
    <t>Inversión neta efectiva</t>
  </si>
  <si>
    <t>VPN del proyecto</t>
  </si>
  <si>
    <t>TIR del proyecto</t>
  </si>
  <si>
    <t>Relación Beneficio/Costo</t>
  </si>
  <si>
    <t>ROI total</t>
  </si>
  <si>
    <t>Payback simple (años)</t>
  </si>
  <si>
    <t>Payback descontado (años)</t>
  </si>
  <si>
    <t>WACC</t>
  </si>
  <si>
    <t xml:space="preserve">  DECISIÓN FINAL</t>
  </si>
  <si>
    <t>(-) CAPEX  (Inversión inicial)</t>
  </si>
  <si>
    <t>Turn #</t>
  </si>
  <si>
    <t>Date</t>
  </si>
  <si>
    <t>User Request</t>
  </si>
  <si>
    <t>Action Taken</t>
  </si>
  <si>
    <t>Details</t>
  </si>
  <si>
    <t>Outcome</t>
  </si>
  <si>
    <t>Revisión general del modelo de evaluación financiera solar (6 hojas).</t>
  </si>
  <si>
    <t>Diagnóstico completo. Identificado error crítico en Payback Simple (C10) y Descontado (C11).</t>
  </si>
  <si>
    <t>Fórmulas usaban operador @ que bloqueaba MATCH como arreglo. Además, celdas C10, C11 y C29 tenían formato texto (@) que impedía el cálculo.</t>
  </si>
  <si>
    <t>Error diagnosticado. Presentado al usuario para confirmación.</t>
  </si>
  <si>
    <t>Usuario confirmó: corregir ambas fórmulas de Payback (Simple y Descontado).</t>
  </si>
  <si>
    <t>Corregidas fórmulas en C10, C11. Cambiado formato de @ (texto) a 0.0 (numérico). Corregido C29 (tabla de decisión).</t>
  </si>
  <si>
    <t>Reemplazado @rango&gt;=0 por INDEX(rango&gt;=0,0) en MATCH para forzar evaluación de arreglo. Cambio de numberFormat de '@' a '0.0'. C29 también tenía formato texto — corregido. Fórmula D29 (veredicto) se actualizó automáticamente.</t>
  </si>
  <si>
    <t>Payback Simple = 3.4 años | Payback Descontado = 4.7 años | Veredicto: ✅ ≤ 5 años — EXCELENTE. Todos los indicadores ahora son consistentes.</t>
  </si>
  <si>
    <t>Usuario agradeció la corrección realizada.</t>
  </si>
  <si>
    <t>Ninguna acción adicional requerida.</t>
  </si>
  <si>
    <t>Correcciones de Payback confirmadas por el usuario. Modelo completo y consistente.</t>
  </si>
  <si>
    <t>Modelo listo. VPN=$107.7M, TIR=26.1%, B/C=3.87, Payback Simple=3.4 años, Payback Descontado=4.7 años. Todos los indicadores alineados.</t>
  </si>
  <si>
    <t>Usuario pregunta por qué la TIR con financiamiento es 73.80% y dónde se usa el WACC en el cálculo</t>
  </si>
  <si>
    <t>Revisé fórmulas de TIR, VPN, WACC y flujo de caja completo para explicar la relación</t>
  </si>
  <si>
    <t>TIR=IRR(flujo financiero neto) usa solo aporte propio -$37.6M como inversión. WACC=12.042% calculado pero usado solo como referencia, no como tasa de descuento. VPN descuenta con TMAR 12%, no con WACC.</t>
  </si>
  <si>
    <t>Explicación entregada. Se ofreció agregar flujo del proyecto puro o modificar VPN para usar WACC. Esperando decisión del usuario.</t>
  </si>
  <si>
    <t>Implementar Enfoque A: usar WACC cuando hay financiamiento y TMAR cuando no, para VPN, flujo descontado e indicadores</t>
  </si>
  <si>
    <t>Modificadas fórmulas en 4_INDICADORES y 3_FLUJO_CAJA para selección dinámica de tasa según celda SI/NO de 1_ENTRADA!C64</t>
  </si>
  <si>
    <t>VPN: NPV(IF(SI→WACC,NO→TMAR),...). Flujo descontado fila 27: refs absolutas $C$64,$C$70,$C$54 con exponentes dinámicos COLUMN()-COLUMN($B$27). Etiquetas dinámicas en B4,B6,B7,D4,D5,D6,D11,D26,D28,A27. Corregido formato texto en C7.</t>
  </si>
  <si>
    <t>VPN=$167.96M (antes $168.52M con TMAR). TIR=73.80% sin cambio (IRR no usa tasa). WACC=12.042% ahora es tasa de referencia. Payback descontado=1.63 años. Flujo acumulado final coincide con VPN. Todo dinámico: cambiar SI→NO en 1_ENTRADA!C64 switchea automáticamente a TMAR.</t>
  </si>
  <si>
    <t>Suegra</t>
  </si>
  <si>
    <t>Riohacha, La Guajira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</si>
</sst>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&quot;$&quot;\ #,##0.00"/>
  </numFmts>
  <fonts count="2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0000CD"/>
      <name val="Arial"/>
      <charset val="1"/>
    </font>
    <font>
      <i/>
      <sz val="9"/>
      <color rgb="FF777777"/>
      <name val="Arial"/>
      <charset val="1"/>
    </font>
    <font>
      <sz val="10"/>
      <color rgb="FF006400"/>
      <name val="Arial"/>
      <charset val="1"/>
    </font>
    <font>
      <sz val="10"/>
      <color rgb="FF000000"/>
      <name val="Arial"/>
      <charset val="1"/>
    </font>
    <font>
      <b/>
      <sz val="10"/>
      <color rgb="FF1A3A5C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1E7E34"/>
      <name val="Arial"/>
      <charset val="1"/>
    </font>
    <font>
      <sz val="10"/>
      <color rgb="FF1A3A5C"/>
      <name val="Arial"/>
      <charset val="1"/>
    </font>
    <font>
      <sz val="10"/>
      <color rgb="FF777777"/>
      <name val="Arial"/>
      <charset val="1"/>
    </font>
    <font>
      <b/>
      <sz val="10"/>
      <color rgb="FFC0392B"/>
      <name val="Arial"/>
      <charset val="1"/>
    </font>
    <font>
      <b/>
      <sz val="10"/>
      <color rgb="FF2E6DA4"/>
      <name val="Arial"/>
      <charset val="1"/>
    </font>
    <font>
      <b/>
      <sz val="10"/>
      <color rgb="FF5C35B5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b/>
      <sz val="11"/>
      <color rgb="FFFFFFFF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FF9C4"/>
        <bgColor rgb="FFFFF3E0"/>
      </patternFill>
    </fill>
    <fill>
      <patternFill patternType="solid">
        <fgColor rgb="FFD6E8F7"/>
        <bgColor rgb="FFE8EAF6"/>
      </patternFill>
    </fill>
    <fill>
      <patternFill patternType="solid">
        <fgColor rgb="FFE8971A"/>
        <bgColor rgb="FFFF8080"/>
      </patternFill>
    </fill>
    <fill>
      <patternFill patternType="solid">
        <fgColor rgb="FFE8F5E9"/>
        <bgColor rgb="FFF5F5F5"/>
      </patternFill>
    </fill>
    <fill>
      <patternFill patternType="solid">
        <fgColor rgb="FFD4F1D0"/>
        <bgColor rgb="FFE8F5E9"/>
      </patternFill>
    </fill>
    <fill>
      <patternFill patternType="solid">
        <fgColor rgb="FFF5F5F5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E8EAF6"/>
        <bgColor rgb="FFE8F5E9"/>
      </patternFill>
    </fill>
    <fill>
      <patternFill patternType="solid">
        <fgColor rgb="FF1E7E34"/>
        <bgColor rgb="FF008080"/>
      </patternFill>
    </fill>
    <fill>
      <patternFill patternType="solid">
        <fgColor rgb="FF1A3A5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0" fontId="8" fillId="0" borderId="1" xfId="0" applyFont="1" applyBorder="1"/>
    <xf numFmtId="0" fontId="3" fillId="6" borderId="1" xfId="0" applyFont="1" applyFill="1" applyBorder="1" applyAlignment="1">
      <alignment horizontal="left" vertical="center" wrapText="1"/>
    </xf>
    <xf numFmtId="3" fontId="3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/>
    <xf numFmtId="10" fontId="8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3" fontId="12" fillId="7" borderId="2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165" fontId="14" fillId="0" borderId="1" xfId="0" applyNumberFormat="1" applyFont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right" vertical="center"/>
    </xf>
    <xf numFmtId="3" fontId="16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11" borderId="1" xfId="0" applyFont="1" applyFill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wrapText="1"/>
    </xf>
    <xf numFmtId="10" fontId="12" fillId="7" borderId="2" xfId="0" applyNumberFormat="1" applyFont="1" applyFill="1" applyBorder="1" applyAlignment="1">
      <alignment horizontal="right" vertical="center"/>
    </xf>
    <xf numFmtId="2" fontId="12" fillId="7" borderId="2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left" vertical="center" wrapText="1"/>
    </xf>
    <xf numFmtId="2" fontId="12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3" fontId="10" fillId="5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0" fontId="20" fillId="13" borderId="0" xfId="0" applyFont="1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14" fontId="0" fillId="0" borderId="0" xfId="0" applyNumberFormat="1"/>
    <xf numFmtId="0" fontId="12" fillId="7" borderId="2" xfId="0" applyNumberFormat="1" applyFont="1" applyFill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9C4"/>
      <rgbColor rgb="FFE8F5E9"/>
      <rgbColor rgb="FF660066"/>
      <rgbColor rgb="FFFF8080"/>
      <rgbColor rgb="FF2E6DA4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D4F1D0"/>
      <rgbColor rgb="FFFFF3E0"/>
      <rgbColor rgb="FF99CCFF"/>
      <rgbColor rgb="FFFF99CC"/>
      <rgbColor rgb="FFCC99FF"/>
      <rgbColor rgb="FFF5F5F5"/>
      <rgbColor rgb="FF3366FF"/>
      <rgbColor rgb="FF33CCCC"/>
      <rgbColor rgb="FF99CC00"/>
      <rgbColor rgb="FFFFCC00"/>
      <rgbColor rgb="FFE8971A"/>
      <rgbColor rgb="FFFF6600"/>
      <rgbColor rgb="FF555555"/>
      <rgbColor rgb="FF969696"/>
      <rgbColor rgb="FF1A3A5C"/>
      <rgbColor rgb="FF1E7E34"/>
      <rgbColor rgb="FF003300"/>
      <rgbColor rgb="FF333300"/>
      <rgbColor rgb="FFC0392B"/>
      <rgbColor rgb="FF993366"/>
      <rgbColor rgb="FF5C35B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BE94CC-7906-411D-9C99-4B43BC10A9E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F9CB-FED9-4A9B-91FC-68780C6005C2}">
  <dimension ref="A1:F6"/>
  <sheetViews>
    <sheetView workbookViewId="0">
      <selection activeCell="D3" sqref="D3"/>
    </sheetView>
  </sheetViews>
  <sheetFormatPr baseColWidth="10" defaultRowHeight="15" x14ac:dyDescent="0.25"/>
  <cols>
    <col min="1" max="1" width="9.28515625" customWidth="1"/>
    <col min="2" max="2" width="14.7109375" customWidth="1"/>
    <col min="3" max="4" width="37" customWidth="1"/>
    <col min="5" max="5" width="55.5703125" customWidth="1"/>
    <col min="6" max="6" width="46.28515625" customWidth="1"/>
  </cols>
  <sheetData>
    <row r="1" spans="1:6" x14ac:dyDescent="0.25">
      <c r="A1" s="49" t="s">
        <v>230</v>
      </c>
      <c r="B1" s="49" t="s">
        <v>231</v>
      </c>
      <c r="C1" s="49" t="s">
        <v>232</v>
      </c>
      <c r="D1" s="49" t="s">
        <v>233</v>
      </c>
      <c r="E1" s="49" t="s">
        <v>234</v>
      </c>
      <c r="F1" s="49" t="s">
        <v>235</v>
      </c>
    </row>
    <row r="2" spans="1:6" ht="45" x14ac:dyDescent="0.25">
      <c r="A2" s="50">
        <v>1</v>
      </c>
      <c r="B2" s="51">
        <v>46094</v>
      </c>
      <c r="C2" s="50" t="s">
        <v>236</v>
      </c>
      <c r="D2" s="50" t="s">
        <v>237</v>
      </c>
      <c r="E2" s="50" t="s">
        <v>238</v>
      </c>
      <c r="F2" s="50" t="s">
        <v>239</v>
      </c>
    </row>
    <row r="3" spans="1:6" ht="60" x14ac:dyDescent="0.25">
      <c r="A3" s="50">
        <v>2</v>
      </c>
      <c r="B3" s="51">
        <v>46094</v>
      </c>
      <c r="C3" s="50" t="s">
        <v>240</v>
      </c>
      <c r="D3" s="50" t="s">
        <v>241</v>
      </c>
      <c r="E3" s="50" t="s">
        <v>242</v>
      </c>
      <c r="F3" s="50" t="s">
        <v>243</v>
      </c>
    </row>
    <row r="4" spans="1:6" ht="45" x14ac:dyDescent="0.25">
      <c r="A4" s="50">
        <v>3</v>
      </c>
      <c r="B4" s="51">
        <v>46094</v>
      </c>
      <c r="C4" s="50" t="s">
        <v>244</v>
      </c>
      <c r="D4" s="50" t="s">
        <v>245</v>
      </c>
      <c r="E4" s="50" t="s">
        <v>246</v>
      </c>
      <c r="F4" s="50" t="s">
        <v>247</v>
      </c>
    </row>
    <row r="5" spans="1:6" ht="60" x14ac:dyDescent="0.25">
      <c r="A5" s="50">
        <v>4</v>
      </c>
      <c r="B5" s="52">
        <v>46094</v>
      </c>
      <c r="C5" s="50" t="s">
        <v>248</v>
      </c>
      <c r="D5" s="50" t="s">
        <v>249</v>
      </c>
      <c r="E5" s="50" t="s">
        <v>250</v>
      </c>
      <c r="F5" s="50" t="s">
        <v>251</v>
      </c>
    </row>
    <row r="6" spans="1:6" ht="105" x14ac:dyDescent="0.25">
      <c r="A6" s="50">
        <v>5</v>
      </c>
      <c r="B6" s="52">
        <v>46094</v>
      </c>
      <c r="C6" s="50" t="s">
        <v>252</v>
      </c>
      <c r="D6" s="50" t="s">
        <v>253</v>
      </c>
      <c r="E6" s="50" t="s">
        <v>254</v>
      </c>
      <c r="F6" s="50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0"/>
  <sheetViews>
    <sheetView showGridLines="0" tabSelected="1" zoomScale="85" zoomScaleNormal="85" workbookViewId="0">
      <pane xSplit="1" ySplit="2" topLeftCell="B40" activePane="bottomRight" state="frozen"/>
      <selection pane="topRight" activeCell="B1" sqref="B1"/>
      <selection pane="bottomLeft" activeCell="A63" sqref="A63"/>
      <selection pane="bottomRight" activeCell="C73" sqref="C73"/>
    </sheetView>
  </sheetViews>
  <sheetFormatPr baseColWidth="10" defaultColWidth="8.5703125" defaultRowHeight="15" x14ac:dyDescent="0.25"/>
  <cols>
    <col min="1" max="1" width="3" customWidth="1"/>
    <col min="2" max="2" width="40" customWidth="1"/>
    <col min="3" max="3" width="32.85546875" customWidth="1"/>
    <col min="4" max="4" width="20.7109375" customWidth="1"/>
    <col min="5" max="5" width="32.7109375" customWidth="1"/>
  </cols>
  <sheetData>
    <row r="1" spans="2:5" ht="33.75" customHeight="1" x14ac:dyDescent="0.25">
      <c r="B1" s="56" t="s">
        <v>0</v>
      </c>
      <c r="C1" s="56"/>
      <c r="D1" s="56"/>
      <c r="E1" s="56"/>
    </row>
    <row r="2" spans="2:5" ht="13.5" customHeight="1" x14ac:dyDescent="0.25">
      <c r="B2" s="57" t="s">
        <v>1</v>
      </c>
      <c r="C2" s="57"/>
      <c r="D2" s="57"/>
      <c r="E2" s="57"/>
    </row>
    <row r="3" spans="2:5" ht="19.5" customHeight="1" x14ac:dyDescent="0.25">
      <c r="B3" s="55" t="s">
        <v>2</v>
      </c>
      <c r="C3" s="55"/>
      <c r="D3" s="55"/>
      <c r="E3" s="55"/>
    </row>
    <row r="4" spans="2:5" ht="18" customHeight="1" x14ac:dyDescent="0.25">
      <c r="B4" s="1" t="s">
        <v>3</v>
      </c>
      <c r="C4" s="1" t="s">
        <v>4</v>
      </c>
      <c r="D4" s="1" t="s">
        <v>5</v>
      </c>
      <c r="E4" s="1" t="s">
        <v>6</v>
      </c>
    </row>
    <row r="5" spans="2:5" ht="16.5" customHeight="1" x14ac:dyDescent="0.25">
      <c r="B5" s="2" t="s">
        <v>7</v>
      </c>
      <c r="C5" s="3" t="s">
        <v>8</v>
      </c>
      <c r="D5" s="4" t="s">
        <v>9</v>
      </c>
      <c r="E5" s="5"/>
    </row>
    <row r="6" spans="2:5" ht="16.5" customHeight="1" x14ac:dyDescent="0.25">
      <c r="B6" s="2" t="s">
        <v>10</v>
      </c>
      <c r="C6" s="3" t="s">
        <v>256</v>
      </c>
      <c r="D6" s="4" t="s">
        <v>9</v>
      </c>
      <c r="E6" s="5"/>
    </row>
    <row r="7" spans="2:5" ht="16.5" customHeight="1" x14ac:dyDescent="0.25">
      <c r="B7" s="2" t="s">
        <v>11</v>
      </c>
      <c r="C7" s="3" t="s">
        <v>257</v>
      </c>
      <c r="D7" s="4" t="s">
        <v>9</v>
      </c>
      <c r="E7" s="5"/>
    </row>
    <row r="8" spans="2:5" ht="16.5" customHeight="1" x14ac:dyDescent="0.25">
      <c r="B8" s="2" t="s">
        <v>12</v>
      </c>
      <c r="C8" s="3" t="s">
        <v>13</v>
      </c>
      <c r="D8" s="4" t="s">
        <v>9</v>
      </c>
      <c r="E8" s="5"/>
    </row>
    <row r="9" spans="2:5" ht="16.5" customHeight="1" x14ac:dyDescent="0.25">
      <c r="B9" s="2" t="s">
        <v>14</v>
      </c>
      <c r="C9" s="3">
        <v>2026</v>
      </c>
      <c r="D9" s="4" t="s">
        <v>15</v>
      </c>
      <c r="E9" s="5"/>
    </row>
    <row r="11" spans="2:5" ht="19.5" customHeight="1" x14ac:dyDescent="0.25">
      <c r="B11" s="55" t="s">
        <v>16</v>
      </c>
      <c r="C11" s="55"/>
      <c r="D11" s="55"/>
      <c r="E11" s="55"/>
    </row>
    <row r="12" spans="2:5" ht="18" customHeight="1" x14ac:dyDescent="0.25">
      <c r="B12" s="1" t="s">
        <v>3</v>
      </c>
      <c r="C12" s="1" t="s">
        <v>4</v>
      </c>
      <c r="D12" s="1" t="s">
        <v>5</v>
      </c>
      <c r="E12" s="1" t="s">
        <v>6</v>
      </c>
    </row>
    <row r="13" spans="2:5" ht="16.5" customHeight="1" x14ac:dyDescent="0.25">
      <c r="B13" s="2" t="s">
        <v>17</v>
      </c>
      <c r="C13" s="3">
        <v>610</v>
      </c>
      <c r="D13" s="4" t="s">
        <v>18</v>
      </c>
      <c r="E13" s="5" t="s">
        <v>19</v>
      </c>
    </row>
    <row r="14" spans="2:5" ht="16.5" customHeight="1" x14ac:dyDescent="0.25">
      <c r="B14" s="2" t="s">
        <v>20</v>
      </c>
      <c r="C14" s="3">
        <v>20</v>
      </c>
      <c r="D14" s="4" t="s">
        <v>21</v>
      </c>
      <c r="E14" s="5" t="s">
        <v>22</v>
      </c>
    </row>
    <row r="15" spans="2:5" ht="16.5" customHeight="1" x14ac:dyDescent="0.25">
      <c r="B15" s="2" t="s">
        <v>23</v>
      </c>
      <c r="C15" s="6">
        <f>(C13*C14)/1000</f>
        <v>12.2</v>
      </c>
      <c r="D15" s="4" t="s">
        <v>24</v>
      </c>
      <c r="E15" s="5" t="s">
        <v>25</v>
      </c>
    </row>
    <row r="16" spans="2:5" ht="16.5" customHeight="1" x14ac:dyDescent="0.25">
      <c r="B16" s="2" t="s">
        <v>26</v>
      </c>
      <c r="C16" s="3">
        <v>12</v>
      </c>
      <c r="D16" s="4" t="s">
        <v>27</v>
      </c>
      <c r="E16" s="5" t="s">
        <v>28</v>
      </c>
    </row>
    <row r="17" spans="2:5" ht="16.5" customHeight="1" x14ac:dyDescent="0.25">
      <c r="B17" s="2" t="s">
        <v>29</v>
      </c>
      <c r="C17" s="3">
        <v>5</v>
      </c>
      <c r="D17" s="4" t="s">
        <v>30</v>
      </c>
      <c r="E17" s="5" t="s">
        <v>31</v>
      </c>
    </row>
    <row r="18" spans="2:5" ht="16.5" customHeight="1" x14ac:dyDescent="0.25">
      <c r="B18" s="2" t="s">
        <v>32</v>
      </c>
      <c r="C18" s="3">
        <v>0.9</v>
      </c>
      <c r="D18" s="4" t="s">
        <v>33</v>
      </c>
      <c r="E18" s="5" t="s">
        <v>34</v>
      </c>
    </row>
    <row r="19" spans="2:5" ht="16.5" customHeight="1" x14ac:dyDescent="0.25">
      <c r="B19" s="2" t="s">
        <v>35</v>
      </c>
      <c r="C19" s="7">
        <f>'2_CALC_KWH'!C11</f>
        <v>0</v>
      </c>
      <c r="D19" s="4" t="s">
        <v>36</v>
      </c>
      <c r="E19" s="5" t="s">
        <v>37</v>
      </c>
    </row>
    <row r="20" spans="2:5" ht="16.5" customHeight="1" x14ac:dyDescent="0.25">
      <c r="B20" s="2" t="s">
        <v>38</v>
      </c>
      <c r="C20" s="3">
        <v>3700</v>
      </c>
      <c r="D20" s="4" t="s">
        <v>36</v>
      </c>
      <c r="E20" s="5" t="s">
        <v>39</v>
      </c>
    </row>
    <row r="21" spans="2:5" ht="16.5" customHeight="1" x14ac:dyDescent="0.25">
      <c r="B21" s="2" t="s">
        <v>40</v>
      </c>
      <c r="C21" s="8">
        <f>'2_CALC_KWH'!C13/C20</f>
        <v>0.44513513513513514</v>
      </c>
      <c r="D21" s="4" t="s">
        <v>41</v>
      </c>
      <c r="E21" s="5" t="s">
        <v>42</v>
      </c>
    </row>
    <row r="22" spans="2:5" ht="16.5" customHeight="1" x14ac:dyDescent="0.25">
      <c r="B22" s="2" t="s">
        <v>43</v>
      </c>
      <c r="C22" s="3">
        <v>2.5000000000000001E-2</v>
      </c>
      <c r="D22" s="4" t="s">
        <v>44</v>
      </c>
      <c r="E22" s="5" t="s">
        <v>45</v>
      </c>
    </row>
    <row r="23" spans="2:5" ht="16.5" customHeight="1" x14ac:dyDescent="0.25">
      <c r="B23" s="2" t="s">
        <v>46</v>
      </c>
      <c r="C23" s="3">
        <v>5.4999999999999997E-3</v>
      </c>
      <c r="D23" s="4" t="s">
        <v>44</v>
      </c>
      <c r="E23" s="5" t="s">
        <v>47</v>
      </c>
    </row>
    <row r="25" spans="2:5" ht="19.5" customHeight="1" x14ac:dyDescent="0.25">
      <c r="B25" s="55" t="s">
        <v>48</v>
      </c>
      <c r="C25" s="55"/>
      <c r="D25" s="55"/>
      <c r="E25" s="55"/>
    </row>
    <row r="26" spans="2:5" ht="18" customHeight="1" x14ac:dyDescent="0.25">
      <c r="B26" s="1" t="s">
        <v>3</v>
      </c>
      <c r="C26" s="1" t="s">
        <v>4</v>
      </c>
      <c r="D26" s="1" t="s">
        <v>5</v>
      </c>
      <c r="E26" s="1" t="s">
        <v>6</v>
      </c>
    </row>
    <row r="27" spans="2:5" ht="16.5" customHeight="1" x14ac:dyDescent="0.25">
      <c r="B27" s="2" t="s">
        <v>49</v>
      </c>
      <c r="C27" s="3">
        <v>891</v>
      </c>
      <c r="D27" s="4" t="s">
        <v>50</v>
      </c>
      <c r="E27" s="5" t="s">
        <v>51</v>
      </c>
    </row>
    <row r="28" spans="2:5" ht="16.5" customHeight="1" x14ac:dyDescent="0.25">
      <c r="B28" s="2" t="s">
        <v>52</v>
      </c>
      <c r="C28" s="3">
        <v>436</v>
      </c>
      <c r="D28" s="4" t="s">
        <v>50</v>
      </c>
      <c r="E28" s="5" t="s">
        <v>53</v>
      </c>
    </row>
    <row r="29" spans="2:5" ht="16.5" customHeight="1" x14ac:dyDescent="0.25">
      <c r="B29" s="2" t="s">
        <v>54</v>
      </c>
      <c r="C29" s="3">
        <v>6.7000000000000004E-2</v>
      </c>
      <c r="D29" s="4" t="s">
        <v>44</v>
      </c>
      <c r="E29" s="5" t="s">
        <v>55</v>
      </c>
    </row>
    <row r="30" spans="2:5" ht="16.5" customHeight="1" x14ac:dyDescent="0.25">
      <c r="B30" s="2" t="s">
        <v>56</v>
      </c>
      <c r="C30" s="3" t="s">
        <v>57</v>
      </c>
      <c r="D30" s="4" t="s">
        <v>58</v>
      </c>
      <c r="E30" s="5" t="s">
        <v>59</v>
      </c>
    </row>
    <row r="32" spans="2:5" ht="19.5" customHeight="1" x14ac:dyDescent="0.25">
      <c r="B32" s="55" t="s">
        <v>60</v>
      </c>
      <c r="C32" s="55"/>
      <c r="D32" s="55"/>
      <c r="E32" s="55"/>
    </row>
    <row r="33" spans="2:5" ht="18" customHeight="1" x14ac:dyDescent="0.25">
      <c r="B33" s="1" t="s">
        <v>61</v>
      </c>
      <c r="C33" s="1" t="s">
        <v>62</v>
      </c>
      <c r="D33" s="1" t="s">
        <v>63</v>
      </c>
      <c r="E33" s="1" t="s">
        <v>64</v>
      </c>
    </row>
    <row r="34" spans="2:5" ht="16.5" customHeight="1" x14ac:dyDescent="0.25">
      <c r="B34" s="2" t="s">
        <v>65</v>
      </c>
      <c r="C34" s="9">
        <v>24400000</v>
      </c>
      <c r="D34" s="10">
        <v>0</v>
      </c>
      <c r="E34" s="11">
        <f>C34*(1+D34)</f>
        <v>24400000</v>
      </c>
    </row>
    <row r="35" spans="2:5" ht="16.5" customHeight="1" x14ac:dyDescent="0.25">
      <c r="B35" s="2" t="s">
        <v>66</v>
      </c>
      <c r="C35" s="9">
        <v>22000000</v>
      </c>
      <c r="D35" s="10">
        <v>0</v>
      </c>
      <c r="E35" s="11">
        <f t="shared" ref="E35:E46" si="0">C35*(1+D35)</f>
        <v>22000000</v>
      </c>
    </row>
    <row r="36" spans="2:5" ht="16.5" customHeight="1" x14ac:dyDescent="0.25">
      <c r="B36" s="2" t="s">
        <v>67</v>
      </c>
      <c r="C36" s="9">
        <v>23000000</v>
      </c>
      <c r="D36" s="10">
        <v>0.19</v>
      </c>
      <c r="E36" s="11">
        <f t="shared" si="0"/>
        <v>27370000</v>
      </c>
    </row>
    <row r="37" spans="2:5" ht="16.5" customHeight="1" x14ac:dyDescent="0.25">
      <c r="B37" s="2" t="s">
        <v>68</v>
      </c>
      <c r="C37" s="9">
        <v>3000000</v>
      </c>
      <c r="D37" s="10">
        <v>0.19</v>
      </c>
      <c r="E37" s="11">
        <f t="shared" si="0"/>
        <v>3570000</v>
      </c>
    </row>
    <row r="38" spans="2:5" ht="16.5" customHeight="1" x14ac:dyDescent="0.25">
      <c r="B38" s="2" t="s">
        <v>69</v>
      </c>
      <c r="C38" s="9">
        <v>4800000</v>
      </c>
      <c r="D38" s="10">
        <v>0.19</v>
      </c>
      <c r="E38" s="11">
        <f t="shared" si="0"/>
        <v>5712000</v>
      </c>
    </row>
    <row r="39" spans="2:5" ht="16.5" customHeight="1" x14ac:dyDescent="0.25">
      <c r="B39" s="2" t="s">
        <v>70</v>
      </c>
      <c r="C39" s="9">
        <v>5000000</v>
      </c>
      <c r="D39" s="10">
        <v>0.19</v>
      </c>
      <c r="E39" s="11">
        <f t="shared" si="0"/>
        <v>5950000</v>
      </c>
    </row>
    <row r="40" spans="2:5" ht="16.5" customHeight="1" x14ac:dyDescent="0.25">
      <c r="B40" s="2" t="s">
        <v>71</v>
      </c>
      <c r="C40" s="9">
        <v>3500000</v>
      </c>
      <c r="D40" s="10">
        <v>0.19</v>
      </c>
      <c r="E40" s="11">
        <f t="shared" si="0"/>
        <v>4165000</v>
      </c>
    </row>
    <row r="41" spans="2:5" ht="16.5" customHeight="1" x14ac:dyDescent="0.25">
      <c r="B41" s="2" t="s">
        <v>72</v>
      </c>
      <c r="C41" s="9">
        <v>2200000</v>
      </c>
      <c r="D41" s="10">
        <v>0.19</v>
      </c>
      <c r="E41" s="11">
        <f t="shared" si="0"/>
        <v>2618000</v>
      </c>
    </row>
    <row r="42" spans="2:5" ht="16.5" customHeight="1" x14ac:dyDescent="0.25">
      <c r="B42" s="2" t="s">
        <v>73</v>
      </c>
      <c r="C42" s="9">
        <v>12500000</v>
      </c>
      <c r="D42" s="10">
        <v>0.19</v>
      </c>
      <c r="E42" s="11">
        <f t="shared" si="0"/>
        <v>14875000</v>
      </c>
    </row>
    <row r="43" spans="2:5" ht="16.5" customHeight="1" x14ac:dyDescent="0.25">
      <c r="B43" s="2" t="s">
        <v>74</v>
      </c>
      <c r="C43" s="9">
        <v>4000000</v>
      </c>
      <c r="D43" s="10">
        <v>0</v>
      </c>
      <c r="E43" s="11">
        <f t="shared" si="0"/>
        <v>4000000</v>
      </c>
    </row>
    <row r="44" spans="2:5" ht="16.5" customHeight="1" x14ac:dyDescent="0.25">
      <c r="B44" s="2" t="s">
        <v>75</v>
      </c>
      <c r="C44" s="9">
        <v>3000000</v>
      </c>
      <c r="D44" s="10">
        <v>0</v>
      </c>
      <c r="E44" s="11">
        <f t="shared" si="0"/>
        <v>3000000</v>
      </c>
    </row>
    <row r="45" spans="2:5" ht="16.5" customHeight="1" x14ac:dyDescent="0.25">
      <c r="B45" s="2" t="s">
        <v>76</v>
      </c>
      <c r="C45" s="9">
        <v>3000000</v>
      </c>
      <c r="D45" s="10">
        <v>0.19</v>
      </c>
      <c r="E45" s="11">
        <f t="shared" si="0"/>
        <v>3570000</v>
      </c>
    </row>
    <row r="46" spans="2:5" ht="16.5" customHeight="1" x14ac:dyDescent="0.25">
      <c r="B46" s="2" t="s">
        <v>77</v>
      </c>
      <c r="C46" s="9">
        <v>0</v>
      </c>
      <c r="D46" s="10">
        <v>0.19</v>
      </c>
      <c r="E46" s="11">
        <f t="shared" si="0"/>
        <v>0</v>
      </c>
    </row>
    <row r="47" spans="2:5" ht="18" customHeight="1" x14ac:dyDescent="0.25">
      <c r="B47" s="12" t="s">
        <v>78</v>
      </c>
      <c r="C47" s="13">
        <f>SUM(C34:C46)</f>
        <v>110400000</v>
      </c>
      <c r="D47" s="14"/>
      <c r="E47" s="13">
        <f>SUM(E34:E46)</f>
        <v>121230000</v>
      </c>
    </row>
    <row r="48" spans="2:5" ht="25.5" x14ac:dyDescent="0.25">
      <c r="B48" s="2" t="s">
        <v>79</v>
      </c>
      <c r="C48" s="10">
        <v>0.5</v>
      </c>
      <c r="D48" s="4" t="s">
        <v>41</v>
      </c>
      <c r="E48" s="11">
        <f>E47*C48</f>
        <v>60615000</v>
      </c>
    </row>
    <row r="49" spans="2:5" ht="33" customHeight="1" x14ac:dyDescent="0.25">
      <c r="B49" s="15" t="s">
        <v>80</v>
      </c>
      <c r="C49" s="16">
        <f>E47-E48</f>
        <v>60615000</v>
      </c>
      <c r="D49" s="17"/>
      <c r="E49" s="16">
        <f>E47-E48</f>
        <v>60615000</v>
      </c>
    </row>
    <row r="51" spans="2:5" ht="19.5" customHeight="1" x14ac:dyDescent="0.25">
      <c r="B51" s="55" t="s">
        <v>81</v>
      </c>
      <c r="C51" s="55"/>
      <c r="D51" s="55"/>
      <c r="E51" s="55"/>
    </row>
    <row r="52" spans="2:5" ht="18" customHeight="1" x14ac:dyDescent="0.25">
      <c r="B52" s="1" t="s">
        <v>3</v>
      </c>
      <c r="C52" s="1" t="s">
        <v>4</v>
      </c>
      <c r="D52" s="1" t="s">
        <v>5</v>
      </c>
      <c r="E52" s="1" t="s">
        <v>6</v>
      </c>
    </row>
    <row r="53" spans="2:5" ht="16.5" customHeight="1" x14ac:dyDescent="0.25">
      <c r="B53" s="2" t="s">
        <v>82</v>
      </c>
      <c r="C53" s="3">
        <v>25</v>
      </c>
      <c r="D53" s="4" t="s">
        <v>83</v>
      </c>
      <c r="E53" s="5" t="s">
        <v>84</v>
      </c>
    </row>
    <row r="54" spans="2:5" ht="16.5" customHeight="1" x14ac:dyDescent="0.25">
      <c r="B54" s="2" t="s">
        <v>85</v>
      </c>
      <c r="C54" s="3">
        <v>0.12</v>
      </c>
      <c r="D54" s="4" t="s">
        <v>41</v>
      </c>
      <c r="E54" s="5" t="s">
        <v>86</v>
      </c>
    </row>
    <row r="55" spans="2:5" ht="16.5" customHeight="1" x14ac:dyDescent="0.25">
      <c r="B55" s="2" t="s">
        <v>87</v>
      </c>
      <c r="C55" s="3">
        <v>9.2799999999999994E-2</v>
      </c>
      <c r="D55" s="4" t="s">
        <v>41</v>
      </c>
      <c r="E55" s="5" t="s">
        <v>88</v>
      </c>
    </row>
    <row r="56" spans="2:5" ht="16.5" customHeight="1" x14ac:dyDescent="0.25">
      <c r="B56" s="2" t="s">
        <v>89</v>
      </c>
      <c r="C56" s="3">
        <v>-5.79E-2</v>
      </c>
      <c r="D56" s="4" t="s">
        <v>41</v>
      </c>
      <c r="E56" s="5" t="s">
        <v>90</v>
      </c>
    </row>
    <row r="57" spans="2:5" ht="16.5" customHeight="1" x14ac:dyDescent="0.25">
      <c r="B57" s="2" t="s">
        <v>91</v>
      </c>
      <c r="C57" s="3">
        <v>0.03</v>
      </c>
      <c r="D57" s="4" t="s">
        <v>41</v>
      </c>
      <c r="E57" s="5" t="s">
        <v>92</v>
      </c>
    </row>
    <row r="58" spans="2:5" ht="16.5" customHeight="1" x14ac:dyDescent="0.25">
      <c r="B58" s="2" t="s">
        <v>93</v>
      </c>
      <c r="C58" s="3">
        <v>5</v>
      </c>
      <c r="D58" s="4" t="s">
        <v>83</v>
      </c>
      <c r="E58" s="5" t="s">
        <v>94</v>
      </c>
    </row>
    <row r="59" spans="2:5" ht="16.5" customHeight="1" x14ac:dyDescent="0.25">
      <c r="B59" s="2" t="s">
        <v>95</v>
      </c>
      <c r="C59" s="3">
        <v>0.39</v>
      </c>
      <c r="D59" s="4" t="s">
        <v>41</v>
      </c>
      <c r="E59" s="5" t="s">
        <v>96</v>
      </c>
    </row>
    <row r="60" spans="2:5" ht="16.5" customHeight="1" x14ac:dyDescent="0.25">
      <c r="B60" s="2" t="s">
        <v>97</v>
      </c>
      <c r="C60" s="3">
        <v>0.33</v>
      </c>
      <c r="D60" s="4" t="s">
        <v>41</v>
      </c>
      <c r="E60" s="5" t="s">
        <v>98</v>
      </c>
    </row>
    <row r="62" spans="2:5" ht="19.5" customHeight="1" x14ac:dyDescent="0.25">
      <c r="B62" s="55" t="s">
        <v>99</v>
      </c>
      <c r="C62" s="55"/>
      <c r="D62" s="55"/>
      <c r="E62" s="55"/>
    </row>
    <row r="63" spans="2:5" ht="18" customHeight="1" x14ac:dyDescent="0.25">
      <c r="B63" s="1" t="s">
        <v>3</v>
      </c>
      <c r="C63" s="1" t="s">
        <v>4</v>
      </c>
      <c r="D63" s="1" t="s">
        <v>5</v>
      </c>
      <c r="E63" s="1" t="s">
        <v>6</v>
      </c>
    </row>
    <row r="64" spans="2:5" ht="16.5" customHeight="1" x14ac:dyDescent="0.25">
      <c r="B64" s="2" t="s">
        <v>100</v>
      </c>
      <c r="C64" s="3" t="s">
        <v>57</v>
      </c>
      <c r="D64" s="4" t="s">
        <v>58</v>
      </c>
      <c r="E64" s="5"/>
    </row>
    <row r="65" spans="2:5" ht="16.5" customHeight="1" x14ac:dyDescent="0.25">
      <c r="B65" s="2" t="s">
        <v>101</v>
      </c>
      <c r="C65" s="3">
        <v>0.7</v>
      </c>
      <c r="D65" s="4" t="s">
        <v>41</v>
      </c>
      <c r="E65" s="5" t="s">
        <v>102</v>
      </c>
    </row>
    <row r="66" spans="2:5" ht="16.5" customHeight="1" x14ac:dyDescent="0.25">
      <c r="B66" s="2" t="s">
        <v>103</v>
      </c>
      <c r="C66" s="11">
        <f>IF(C64="SI",C65*E47,0)</f>
        <v>84861000</v>
      </c>
      <c r="D66" s="4" t="s">
        <v>104</v>
      </c>
      <c r="E66" s="5" t="s">
        <v>105</v>
      </c>
    </row>
    <row r="67" spans="2:5" ht="16.5" customHeight="1" x14ac:dyDescent="0.25">
      <c r="B67" s="2" t="s">
        <v>106</v>
      </c>
      <c r="C67" s="3">
        <v>5</v>
      </c>
      <c r="D67" s="4" t="s">
        <v>83</v>
      </c>
      <c r="E67" s="5"/>
    </row>
    <row r="68" spans="2:5" ht="16.5" customHeight="1" x14ac:dyDescent="0.25">
      <c r="B68" s="2" t="s">
        <v>107</v>
      </c>
      <c r="C68" s="3">
        <v>0.18</v>
      </c>
      <c r="D68" s="4" t="s">
        <v>108</v>
      </c>
      <c r="E68" s="5" t="s">
        <v>109</v>
      </c>
    </row>
    <row r="69" spans="2:5" ht="16.5" customHeight="1" x14ac:dyDescent="0.25">
      <c r="B69" s="2" t="s">
        <v>110</v>
      </c>
      <c r="C69" s="11">
        <f>E47-C66</f>
        <v>36369000</v>
      </c>
      <c r="D69" s="4" t="s">
        <v>104</v>
      </c>
      <c r="E69" s="5" t="s">
        <v>105</v>
      </c>
    </row>
    <row r="70" spans="2:5" ht="16.5" customHeight="1" x14ac:dyDescent="0.25">
      <c r="B70" s="2" t="s">
        <v>111</v>
      </c>
      <c r="C70" s="18">
        <f>IF(C64="SI",(C66/E47)*C68*(1-C60)+(C69/E47)*C54,C54)</f>
        <v>0.12042</v>
      </c>
      <c r="D70" s="4" t="s">
        <v>41</v>
      </c>
      <c r="E70" s="5" t="s">
        <v>105</v>
      </c>
    </row>
  </sheetData>
  <mergeCells count="8">
    <mergeCell ref="B32:E32"/>
    <mergeCell ref="B51:E51"/>
    <mergeCell ref="B62:E62"/>
    <mergeCell ref="B1:E1"/>
    <mergeCell ref="B2:E2"/>
    <mergeCell ref="B3:E3"/>
    <mergeCell ref="B11:E11"/>
    <mergeCell ref="B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7"/>
  <sheetViews>
    <sheetView showGridLines="0" zoomScale="122" zoomScaleNormal="122" workbookViewId="0">
      <pane xSplit="1" ySplit="1" topLeftCell="B7" activePane="bottomRight" state="frozen"/>
      <selection pane="topRight" activeCell="B1" sqref="B1"/>
      <selection pane="bottomLeft" activeCell="A7" sqref="A7"/>
      <selection pane="bottomRight" activeCell="G24" sqref="G24"/>
    </sheetView>
  </sheetViews>
  <sheetFormatPr baseColWidth="10" defaultColWidth="8.5703125" defaultRowHeight="15" x14ac:dyDescent="0.25"/>
  <cols>
    <col min="1" max="1" width="3" customWidth="1"/>
    <col min="2" max="2" width="42" customWidth="1"/>
    <col min="3" max="3" width="22.140625" customWidth="1"/>
    <col min="4" max="4" width="20" customWidth="1"/>
  </cols>
  <sheetData>
    <row r="1" spans="2:4" ht="30" customHeight="1" x14ac:dyDescent="0.25">
      <c r="B1" s="58" t="s">
        <v>112</v>
      </c>
      <c r="C1" s="58"/>
      <c r="D1" s="58"/>
    </row>
    <row r="2" spans="2:4" ht="19.5" customHeight="1" x14ac:dyDescent="0.25">
      <c r="B2" s="55" t="s">
        <v>113</v>
      </c>
      <c r="C2" s="55"/>
      <c r="D2" s="55"/>
    </row>
    <row r="3" spans="2:4" ht="18" customHeight="1" x14ac:dyDescent="0.25">
      <c r="B3" s="1" t="s">
        <v>3</v>
      </c>
      <c r="C3" s="1" t="s">
        <v>4</v>
      </c>
      <c r="D3" s="1" t="s">
        <v>5</v>
      </c>
    </row>
    <row r="4" spans="2:4" ht="16.5" customHeight="1" x14ac:dyDescent="0.25">
      <c r="B4" s="2" t="s">
        <v>17</v>
      </c>
      <c r="C4" s="6">
        <f>'1_ENTRADA'!C13</f>
        <v>610</v>
      </c>
      <c r="D4" s="4" t="s">
        <v>18</v>
      </c>
    </row>
    <row r="5" spans="2:4" ht="16.5" customHeight="1" x14ac:dyDescent="0.25">
      <c r="B5" s="2" t="s">
        <v>20</v>
      </c>
      <c r="C5" s="19">
        <f>'1_ENTRADA'!C14</f>
        <v>20</v>
      </c>
      <c r="D5" s="4" t="s">
        <v>21</v>
      </c>
    </row>
    <row r="6" spans="2:4" ht="16.5" customHeight="1" x14ac:dyDescent="0.25">
      <c r="B6" s="2" t="s">
        <v>23</v>
      </c>
      <c r="C6" s="6">
        <f>C4*C5/1000</f>
        <v>12.2</v>
      </c>
      <c r="D6" s="4" t="s">
        <v>24</v>
      </c>
    </row>
    <row r="7" spans="2:4" ht="16.5" customHeight="1" x14ac:dyDescent="0.25">
      <c r="B7" s="2" t="s">
        <v>114</v>
      </c>
      <c r="C7" s="6">
        <f>'1_ENTRADA'!C17</f>
        <v>5</v>
      </c>
      <c r="D7" s="4" t="s">
        <v>30</v>
      </c>
    </row>
    <row r="8" spans="2:4" ht="16.5" customHeight="1" x14ac:dyDescent="0.25">
      <c r="B8" s="2" t="s">
        <v>115</v>
      </c>
      <c r="C8" s="8">
        <f>'1_ENTRADA'!C18</f>
        <v>0.9</v>
      </c>
      <c r="D8" s="4" t="s">
        <v>33</v>
      </c>
    </row>
    <row r="9" spans="2:4" ht="16.5" customHeight="1" x14ac:dyDescent="0.25">
      <c r="B9" s="2" t="s">
        <v>116</v>
      </c>
      <c r="C9" s="7">
        <f>'1_ENTRADA'!C20</f>
        <v>3700</v>
      </c>
      <c r="D9" s="4" t="s">
        <v>36</v>
      </c>
    </row>
    <row r="11" spans="2:4" ht="19.5" customHeight="1" x14ac:dyDescent="0.25">
      <c r="B11" s="55" t="s">
        <v>117</v>
      </c>
      <c r="C11" s="55"/>
      <c r="D11" s="55"/>
    </row>
    <row r="12" spans="2:4" ht="18" customHeight="1" x14ac:dyDescent="0.25">
      <c r="B12" s="1" t="s">
        <v>118</v>
      </c>
      <c r="C12" s="1" t="s">
        <v>4</v>
      </c>
      <c r="D12" s="1" t="s">
        <v>5</v>
      </c>
    </row>
    <row r="13" spans="2:4" ht="16.5" customHeight="1" x14ac:dyDescent="0.25">
      <c r="B13" s="2" t="s">
        <v>119</v>
      </c>
      <c r="C13" s="11">
        <f>C4*C5*C7*C8*30/1000</f>
        <v>1647</v>
      </c>
      <c r="D13" s="4" t="s">
        <v>36</v>
      </c>
    </row>
    <row r="14" spans="2:4" ht="16.5" customHeight="1" x14ac:dyDescent="0.25">
      <c r="B14" s="2" t="s">
        <v>120</v>
      </c>
      <c r="C14" s="11">
        <f>C13*12</f>
        <v>19764</v>
      </c>
      <c r="D14" s="4" t="s">
        <v>121</v>
      </c>
    </row>
    <row r="15" spans="2:4" ht="16.5" customHeight="1" x14ac:dyDescent="0.25">
      <c r="B15" s="2" t="s">
        <v>122</v>
      </c>
      <c r="C15" s="20">
        <f>IF(C9=0,0,C13/C9)</f>
        <v>0.44513513513513514</v>
      </c>
      <c r="D15" s="4" t="s">
        <v>41</v>
      </c>
    </row>
    <row r="16" spans="2:4" ht="16.5" customHeight="1" x14ac:dyDescent="0.25">
      <c r="B16" s="2" t="s">
        <v>123</v>
      </c>
      <c r="C16" s="11">
        <f>MIN(C13,C9)</f>
        <v>1647</v>
      </c>
      <c r="D16" s="4" t="s">
        <v>36</v>
      </c>
    </row>
    <row r="17" spans="2:4" ht="16.5" customHeight="1" x14ac:dyDescent="0.25">
      <c r="B17" s="2" t="s">
        <v>124</v>
      </c>
      <c r="C17" s="11">
        <f>MAX(0,C13-C9)</f>
        <v>0</v>
      </c>
      <c r="D17" s="4" t="s">
        <v>36</v>
      </c>
    </row>
    <row r="19" spans="2:4" ht="19.5" customHeight="1" x14ac:dyDescent="0.25">
      <c r="B19" s="55" t="s">
        <v>125</v>
      </c>
      <c r="C19" s="55"/>
      <c r="D19" s="55"/>
    </row>
    <row r="20" spans="2:4" ht="18" customHeight="1" x14ac:dyDescent="0.25">
      <c r="B20" s="1" t="s">
        <v>118</v>
      </c>
      <c r="C20" s="1" t="s">
        <v>4</v>
      </c>
      <c r="D20" s="1" t="s">
        <v>5</v>
      </c>
    </row>
    <row r="21" spans="2:4" ht="16.5" customHeight="1" x14ac:dyDescent="0.25">
      <c r="B21" s="2" t="s">
        <v>126</v>
      </c>
      <c r="C21" s="11">
        <f>'1_ENTRADA'!C27</f>
        <v>891</v>
      </c>
      <c r="D21" s="4" t="s">
        <v>50</v>
      </c>
    </row>
    <row r="22" spans="2:4" ht="16.5" customHeight="1" x14ac:dyDescent="0.25">
      <c r="B22" s="2" t="s">
        <v>127</v>
      </c>
      <c r="C22" s="11">
        <f>'1_ENTRADA'!C20*C21</f>
        <v>3296700</v>
      </c>
      <c r="D22" s="4" t="s">
        <v>128</v>
      </c>
    </row>
    <row r="23" spans="2:4" ht="16.5" customHeight="1" x14ac:dyDescent="0.25">
      <c r="B23" s="2" t="s">
        <v>129</v>
      </c>
      <c r="C23" s="11">
        <f>C16*C21</f>
        <v>1467477</v>
      </c>
      <c r="D23" s="4" t="s">
        <v>128</v>
      </c>
    </row>
    <row r="24" spans="2:4" ht="16.5" customHeight="1" x14ac:dyDescent="0.25">
      <c r="B24" s="2" t="s">
        <v>130</v>
      </c>
      <c r="C24" s="11">
        <f>C17*'1_ENTRADA'!C28</f>
        <v>0</v>
      </c>
      <c r="D24" s="4" t="s">
        <v>128</v>
      </c>
    </row>
    <row r="25" spans="2:4" ht="16.5" customHeight="1" x14ac:dyDescent="0.25">
      <c r="B25" s="2" t="s">
        <v>131</v>
      </c>
      <c r="C25" s="21">
        <f>C23+C24</f>
        <v>1467477</v>
      </c>
      <c r="D25" s="4" t="s">
        <v>128</v>
      </c>
    </row>
    <row r="26" spans="2:4" ht="16.5" customHeight="1" x14ac:dyDescent="0.25">
      <c r="B26" s="2" t="s">
        <v>132</v>
      </c>
      <c r="C26" s="21">
        <f>C25*12</f>
        <v>17609724</v>
      </c>
      <c r="D26" s="4" t="s">
        <v>133</v>
      </c>
    </row>
    <row r="27" spans="2:4" ht="16.5" customHeight="1" x14ac:dyDescent="0.25">
      <c r="B27" s="2" t="s">
        <v>134</v>
      </c>
      <c r="C27" s="11">
        <f>IF(C6=0,0,'1_ENTRADA'!C47/C6)</f>
        <v>9049180.3278688528</v>
      </c>
      <c r="D27" s="4" t="s">
        <v>135</v>
      </c>
    </row>
  </sheetData>
  <mergeCells count="4">
    <mergeCell ref="B1:D1"/>
    <mergeCell ref="B2:D2"/>
    <mergeCell ref="B11:D11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8"/>
  <sheetViews>
    <sheetView showGridLines="0" zoomScale="133" zoomScaleNormal="133" workbookViewId="0">
      <pane xSplit="1" ySplit="2" topLeftCell="B5" activePane="bottomRight" state="frozen"/>
      <selection pane="topRight" activeCell="B1" sqref="B1"/>
      <selection pane="bottomLeft" activeCell="A3" sqref="A3"/>
      <selection pane="bottomRight" activeCell="B9" sqref="B9"/>
    </sheetView>
  </sheetViews>
  <sheetFormatPr baseColWidth="10" defaultColWidth="8.5703125" defaultRowHeight="15" x14ac:dyDescent="0.25"/>
  <cols>
    <col min="1" max="1" width="40.85546875" customWidth="1"/>
    <col min="2" max="27" width="13" customWidth="1"/>
  </cols>
  <sheetData>
    <row r="1" spans="1:27" ht="30" customHeight="1" x14ac:dyDescent="0.25">
      <c r="A1" s="58" t="s">
        <v>136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27" ht="19.5" customHeight="1" x14ac:dyDescent="0.25">
      <c r="A2" s="1" t="s">
        <v>118</v>
      </c>
      <c r="B2" s="1" t="s">
        <v>137</v>
      </c>
      <c r="C2" s="22">
        <v>1</v>
      </c>
      <c r="D2" s="22">
        <v>2</v>
      </c>
      <c r="E2" s="22">
        <v>3</v>
      </c>
      <c r="F2" s="22">
        <v>4</v>
      </c>
      <c r="G2" s="22">
        <v>5</v>
      </c>
      <c r="H2" s="22">
        <v>6</v>
      </c>
      <c r="I2" s="22">
        <v>7</v>
      </c>
      <c r="J2" s="22">
        <v>8</v>
      </c>
      <c r="K2" s="22">
        <v>9</v>
      </c>
      <c r="L2" s="22">
        <v>10</v>
      </c>
      <c r="M2" s="22">
        <v>11</v>
      </c>
      <c r="N2" s="22">
        <v>12</v>
      </c>
      <c r="O2" s="22">
        <v>13</v>
      </c>
      <c r="P2" s="22">
        <v>14</v>
      </c>
      <c r="Q2" s="22">
        <v>15</v>
      </c>
      <c r="R2" s="22">
        <v>16</v>
      </c>
      <c r="S2" s="22">
        <v>17</v>
      </c>
      <c r="T2" s="22">
        <v>18</v>
      </c>
      <c r="U2" s="22">
        <v>19</v>
      </c>
      <c r="V2" s="22">
        <v>20</v>
      </c>
      <c r="W2" s="22">
        <v>21</v>
      </c>
      <c r="X2" s="22">
        <v>22</v>
      </c>
      <c r="Y2" s="22">
        <v>23</v>
      </c>
      <c r="Z2" s="22">
        <v>24</v>
      </c>
      <c r="AA2" s="22">
        <v>25</v>
      </c>
    </row>
    <row r="3" spans="1:27" ht="18" customHeight="1" x14ac:dyDescent="0.25">
      <c r="A3" s="59" t="s">
        <v>138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 spans="1:27" ht="16.5" customHeight="1" x14ac:dyDescent="0.25">
      <c r="A4" s="23" t="s">
        <v>229</v>
      </c>
      <c r="B4" s="11">
        <f>-'1_ENTRADA'!E47</f>
        <v>-121230000</v>
      </c>
    </row>
    <row r="5" spans="1:27" ht="16.5" customHeight="1" x14ac:dyDescent="0.25">
      <c r="A5" s="23" t="s">
        <v>139</v>
      </c>
      <c r="B5" s="11">
        <f>'1_ENTRADA'!C66</f>
        <v>84861000</v>
      </c>
    </row>
    <row r="6" spans="1:27" ht="16.5" customHeight="1" x14ac:dyDescent="0.25">
      <c r="A6" s="12" t="s">
        <v>140</v>
      </c>
      <c r="B6" s="13">
        <f>B4+B5</f>
        <v>-36369000</v>
      </c>
    </row>
    <row r="7" spans="1:27" ht="18" customHeight="1" x14ac:dyDescent="0.25">
      <c r="A7" s="60" t="s">
        <v>141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27" ht="16.5" customHeight="1" x14ac:dyDescent="0.25">
      <c r="A8" s="23" t="s">
        <v>142</v>
      </c>
      <c r="B8" s="11">
        <v>0</v>
      </c>
      <c r="C8" s="11">
        <f>'2_CALC_KWH'!C26*C11</f>
        <v>17169480.899999999</v>
      </c>
      <c r="D8" s="11">
        <f>'2_CALC_KWH'!C26*D11</f>
        <v>17075048.75505</v>
      </c>
      <c r="E8" s="11">
        <f>'2_CALC_KWH'!C26*E11</f>
        <v>16981135.986897226</v>
      </c>
      <c r="F8" s="11">
        <f>'2_CALC_KWH'!C26*F11</f>
        <v>16887739.738969292</v>
      </c>
      <c r="G8" s="11">
        <f>'2_CALC_KWH'!C26*G11</f>
        <v>16794857.170404959</v>
      </c>
      <c r="H8" s="11">
        <f>'2_CALC_KWH'!C26*H11</f>
        <v>16702485.455967735</v>
      </c>
      <c r="I8" s="11">
        <f>'2_CALC_KWH'!C26*I11</f>
        <v>16610621.785959912</v>
      </c>
      <c r="J8" s="11">
        <f>'2_CALC_KWH'!C26*J11</f>
        <v>16519263.366137134</v>
      </c>
      <c r="K8" s="11">
        <f>'2_CALC_KWH'!C26*K11</f>
        <v>16428407.417623382</v>
      </c>
      <c r="L8" s="11">
        <f>'2_CALC_KWH'!C26*L11</f>
        <v>16338051.176826453</v>
      </c>
      <c r="M8" s="11">
        <f>'2_CALC_KWH'!C26*M11</f>
        <v>16248191.895353908</v>
      </c>
      <c r="N8" s="11">
        <f>'2_CALC_KWH'!C26*N11</f>
        <v>16158826.839929463</v>
      </c>
      <c r="O8" s="11">
        <f>'2_CALC_KWH'!C26*O11</f>
        <v>16069953.292309852</v>
      </c>
      <c r="P8" s="11">
        <f>'2_CALC_KWH'!C26*P11</f>
        <v>15981568.54920215</v>
      </c>
      <c r="Q8" s="11">
        <f>'2_CALC_KWH'!C26*Q11</f>
        <v>15893669.922181537</v>
      </c>
      <c r="R8" s="11">
        <f>'2_CALC_KWH'!C26*R11</f>
        <v>15806254.737609541</v>
      </c>
      <c r="S8" s="11">
        <f>'2_CALC_KWH'!C26*S11</f>
        <v>15719320.336552689</v>
      </c>
      <c r="T8" s="11">
        <f>'2_CALC_KWH'!C26*T11</f>
        <v>15632864.07470165</v>
      </c>
      <c r="U8" s="11">
        <f>'2_CALC_KWH'!C26*U11</f>
        <v>15546883.322290791</v>
      </c>
      <c r="V8" s="11">
        <f>'2_CALC_KWH'!C26*V11</f>
        <v>15461375.464018192</v>
      </c>
      <c r="W8" s="11">
        <f>'2_CALC_KWH'!C26*W11</f>
        <v>15376337.898966094</v>
      </c>
      <c r="X8" s="11">
        <f>'2_CALC_KWH'!C26*X11</f>
        <v>15291768.040521782</v>
      </c>
      <c r="Y8" s="11">
        <f>'2_CALC_KWH'!C26*Y11</f>
        <v>15207663.316298911</v>
      </c>
      <c r="Z8" s="11">
        <f>'2_CALC_KWH'!C26*Z11</f>
        <v>15124021.168059269</v>
      </c>
      <c r="AA8" s="11">
        <f>'2_CALC_KWH'!C26*AA11</f>
        <v>15040839.051634943</v>
      </c>
    </row>
    <row r="9" spans="1:27" ht="16.5" customHeight="1" x14ac:dyDescent="0.25">
      <c r="A9" s="23" t="s">
        <v>143</v>
      </c>
      <c r="B9" s="11">
        <v>0</v>
      </c>
      <c r="C9" s="11">
        <f>IF('1_ENTRADA'!C30="SI",'2_CALC_KWH'!C17*12*'1_ENTRADA'!C28*C11,0)</f>
        <v>0</v>
      </c>
      <c r="D9" s="11">
        <f>IF('1_ENTRADA'!C30="SI",'2_CALC_KWH'!C17*12*'1_ENTRADA'!C28*D11,0)</f>
        <v>0</v>
      </c>
      <c r="E9" s="11">
        <f>IF('1_ENTRADA'!C30="SI",'2_CALC_KWH'!C17*12*'1_ENTRADA'!C28*E11,0)</f>
        <v>0</v>
      </c>
      <c r="F9" s="11">
        <f>IF('1_ENTRADA'!C30="SI",'2_CALC_KWH'!C17*12*'1_ENTRADA'!C28*F11,0)</f>
        <v>0</v>
      </c>
      <c r="G9" s="11">
        <f>IF('1_ENTRADA'!C30="SI",'2_CALC_KWH'!C17*12*'1_ENTRADA'!C28*G11,0)</f>
        <v>0</v>
      </c>
      <c r="H9" s="11">
        <f>IF('1_ENTRADA'!C30="SI",'2_CALC_KWH'!C17*12*'1_ENTRADA'!C28*H11,0)</f>
        <v>0</v>
      </c>
      <c r="I9" s="11">
        <f>IF('1_ENTRADA'!C30="SI",'2_CALC_KWH'!C17*12*'1_ENTRADA'!C28*I11,0)</f>
        <v>0</v>
      </c>
      <c r="J9" s="11">
        <f>IF('1_ENTRADA'!C30="SI",'2_CALC_KWH'!C17*12*'1_ENTRADA'!C28*J11,0)</f>
        <v>0</v>
      </c>
      <c r="K9" s="11">
        <f>IF('1_ENTRADA'!C30="SI",'2_CALC_KWH'!C17*12*'1_ENTRADA'!C28*K11,0)</f>
        <v>0</v>
      </c>
      <c r="L9" s="11">
        <f>IF('1_ENTRADA'!C30="SI",'2_CALC_KWH'!C17*12*'1_ENTRADA'!C28*L11,0)</f>
        <v>0</v>
      </c>
      <c r="M9" s="11">
        <f>IF('1_ENTRADA'!C30="SI",'2_CALC_KWH'!C17*12*'1_ENTRADA'!C28*M11,0)</f>
        <v>0</v>
      </c>
      <c r="N9" s="11">
        <f>IF('1_ENTRADA'!C30="SI",'2_CALC_KWH'!C17*12*'1_ENTRADA'!C28*N11,0)</f>
        <v>0</v>
      </c>
      <c r="O9" s="11">
        <f>IF('1_ENTRADA'!C30="SI",'2_CALC_KWH'!C17*12*'1_ENTRADA'!C28*O11,0)</f>
        <v>0</v>
      </c>
      <c r="P9" s="11">
        <f>IF('1_ENTRADA'!C30="SI",'2_CALC_KWH'!C17*12*'1_ENTRADA'!C28*P11,0)</f>
        <v>0</v>
      </c>
      <c r="Q9" s="11">
        <f>IF('1_ENTRADA'!C30="SI",'2_CALC_KWH'!C17*12*'1_ENTRADA'!C28*Q11,0)</f>
        <v>0</v>
      </c>
      <c r="R9" s="11">
        <f>IF('1_ENTRADA'!C30="SI",'2_CALC_KWH'!C17*12*'1_ENTRADA'!C28*R11,0)</f>
        <v>0</v>
      </c>
      <c r="S9" s="11">
        <f>IF('1_ENTRADA'!C30="SI",'2_CALC_KWH'!C17*12*'1_ENTRADA'!C28*S11,0)</f>
        <v>0</v>
      </c>
      <c r="T9" s="11">
        <f>IF('1_ENTRADA'!C30="SI",'2_CALC_KWH'!C17*12*'1_ENTRADA'!C28*T11,0)</f>
        <v>0</v>
      </c>
      <c r="U9" s="11">
        <f>IF('1_ENTRADA'!C30="SI",'2_CALC_KWH'!C17*12*'1_ENTRADA'!C28*U11,0)</f>
        <v>0</v>
      </c>
      <c r="V9" s="11">
        <f>IF('1_ENTRADA'!C30="SI",'2_CALC_KWH'!C17*12*'1_ENTRADA'!C28*V11,0)</f>
        <v>0</v>
      </c>
      <c r="W9" s="11">
        <f>IF('1_ENTRADA'!C30="SI",'2_CALC_KWH'!C17*12*'1_ENTRADA'!C28*W11,0)</f>
        <v>0</v>
      </c>
      <c r="X9" s="11">
        <f>IF('1_ENTRADA'!C30="SI",'2_CALC_KWH'!C17*12*'1_ENTRADA'!C28*X11,0)</f>
        <v>0</v>
      </c>
      <c r="Y9" s="11">
        <f>IF('1_ENTRADA'!C30="SI",'2_CALC_KWH'!C17*12*'1_ENTRADA'!C28*Y11,0)</f>
        <v>0</v>
      </c>
      <c r="Z9" s="11">
        <f>IF('1_ENTRADA'!C30="SI",'2_CALC_KWH'!C17*12*'1_ENTRADA'!C28*Z11,0)</f>
        <v>0</v>
      </c>
      <c r="AA9" s="11">
        <f>IF('1_ENTRADA'!C30="SI",'2_CALC_KWH'!C17*12*'1_ENTRADA'!C28*AA11,0)</f>
        <v>0</v>
      </c>
    </row>
    <row r="10" spans="1:27" ht="16.5" customHeight="1" x14ac:dyDescent="0.25">
      <c r="A10" s="23" t="s">
        <v>144</v>
      </c>
      <c r="B10" s="11">
        <v>0</v>
      </c>
      <c r="C10" s="11">
        <f>IF(C2&lt;='1_ENTRADA'!$C58,'1_ENTRADA'!$E48/'1_ENTRADA'!$C58,0)</f>
        <v>12123000</v>
      </c>
      <c r="D10" s="11">
        <f>IF(D2&lt;='1_ENTRADA'!$C58,'1_ENTRADA'!$E48/'1_ENTRADA'!$C58,0)</f>
        <v>12123000</v>
      </c>
      <c r="E10" s="11">
        <f>IF(E2&lt;='1_ENTRADA'!$C58,'1_ENTRADA'!$E48/'1_ENTRADA'!$C58,0)</f>
        <v>12123000</v>
      </c>
      <c r="F10" s="11">
        <f>IF(F2&lt;='1_ENTRADA'!$C58,'1_ENTRADA'!$E48/'1_ENTRADA'!$C58,0)</f>
        <v>12123000</v>
      </c>
      <c r="G10" s="11">
        <f>IF(G2&lt;='1_ENTRADA'!$C58,'1_ENTRADA'!$E48/'1_ENTRADA'!$C58,0)</f>
        <v>12123000</v>
      </c>
      <c r="H10" s="11">
        <f>IF(H2&lt;='1_ENTRADA'!$C58,'1_ENTRADA'!$E48/'1_ENTRADA'!$C58,0)</f>
        <v>0</v>
      </c>
      <c r="I10" s="11">
        <f>IF(I2&lt;='1_ENTRADA'!$C58,'1_ENTRADA'!$E48/'1_ENTRADA'!$C58,0)</f>
        <v>0</v>
      </c>
      <c r="J10" s="11">
        <f>IF(J2&lt;='1_ENTRADA'!$C58,'1_ENTRADA'!$E48/'1_ENTRADA'!$C58,0)</f>
        <v>0</v>
      </c>
      <c r="K10" s="11">
        <f>IF(K2&lt;='1_ENTRADA'!$C58,'1_ENTRADA'!$E48/'1_ENTRADA'!$C58,0)</f>
        <v>0</v>
      </c>
      <c r="L10" s="11">
        <f>IF(L2&lt;='1_ENTRADA'!$C58,'1_ENTRADA'!$E48/'1_ENTRADA'!$C58,0)</f>
        <v>0</v>
      </c>
      <c r="M10" s="11">
        <f>IF(M2&lt;='1_ENTRADA'!$C58,'1_ENTRADA'!$E48/'1_ENTRADA'!$C58,0)</f>
        <v>0</v>
      </c>
      <c r="N10" s="11">
        <f>IF(N2&lt;='1_ENTRADA'!$C58,'1_ENTRADA'!$E48/'1_ENTRADA'!$C58,0)</f>
        <v>0</v>
      </c>
      <c r="O10" s="11">
        <f>IF(O2&lt;='1_ENTRADA'!$C58,'1_ENTRADA'!$E48/'1_ENTRADA'!$C58,0)</f>
        <v>0</v>
      </c>
      <c r="P10" s="11">
        <f>IF(P2&lt;='1_ENTRADA'!$C58,'1_ENTRADA'!$E48/'1_ENTRADA'!$C58,0)</f>
        <v>0</v>
      </c>
      <c r="Q10" s="11">
        <f>IF(Q2&lt;='1_ENTRADA'!$C58,'1_ENTRADA'!$E48/'1_ENTRADA'!$C58,0)</f>
        <v>0</v>
      </c>
      <c r="R10" s="11">
        <f>IF(R2&lt;='1_ENTRADA'!$C58,'1_ENTRADA'!$E48/'1_ENTRADA'!$C58,0)</f>
        <v>0</v>
      </c>
      <c r="S10" s="11">
        <f>IF(S2&lt;='1_ENTRADA'!$C58,'1_ENTRADA'!$E48/'1_ENTRADA'!$C58,0)</f>
        <v>0</v>
      </c>
      <c r="T10" s="11">
        <f>IF(T2&lt;='1_ENTRADA'!$C58,'1_ENTRADA'!$E48/'1_ENTRADA'!$C58,0)</f>
        <v>0</v>
      </c>
      <c r="U10" s="11">
        <f>IF(U2&lt;='1_ENTRADA'!$C58,'1_ENTRADA'!$E48/'1_ENTRADA'!$C58,0)</f>
        <v>0</v>
      </c>
      <c r="V10" s="11">
        <f>IF(V2&lt;='1_ENTRADA'!$C58,'1_ENTRADA'!$E48/'1_ENTRADA'!$C58,0)</f>
        <v>0</v>
      </c>
      <c r="W10" s="11">
        <f>IF(W2&lt;='1_ENTRADA'!$C58,'1_ENTRADA'!$E48/'1_ENTRADA'!$C58,0)</f>
        <v>0</v>
      </c>
      <c r="X10" s="11">
        <f>IF(X2&lt;='1_ENTRADA'!$C58,'1_ENTRADA'!$E48/'1_ENTRADA'!$C58,0)</f>
        <v>0</v>
      </c>
      <c r="Y10" s="11">
        <f>IF(Y2&lt;='1_ENTRADA'!$C58,'1_ENTRADA'!$E48/'1_ENTRADA'!$C58,0)</f>
        <v>0</v>
      </c>
      <c r="Z10" s="11">
        <f>IF(Z2&lt;='1_ENTRADA'!$C58,'1_ENTRADA'!$E48/'1_ENTRADA'!$C58,0)</f>
        <v>0</v>
      </c>
      <c r="AA10" s="11">
        <f>IF(AA2&lt;='1_ENTRADA'!$C58,'1_ENTRADA'!$E48/'1_ENTRADA'!$C58,0)</f>
        <v>0</v>
      </c>
    </row>
    <row r="11" spans="1:27" ht="16.5" customHeight="1" x14ac:dyDescent="0.25">
      <c r="A11" s="24" t="s">
        <v>145</v>
      </c>
      <c r="B11" s="11">
        <v>0</v>
      </c>
      <c r="C11" s="25">
        <f>(1-'1_ENTRADA'!C22)</f>
        <v>0.97499999999999998</v>
      </c>
      <c r="D11" s="25">
        <f>C11*(1-'1_ENTRADA'!C23)</f>
        <v>0.96963750000000004</v>
      </c>
      <c r="E11" s="25">
        <f>D11*(1-'1_ENTRADA'!C23)</f>
        <v>0.96430449375000005</v>
      </c>
      <c r="F11" s="25">
        <f>E11*(1-'1_ENTRADA'!C23)</f>
        <v>0.95900081903437506</v>
      </c>
      <c r="G11" s="25">
        <f>F11*(1-'1_ENTRADA'!C23)</f>
        <v>0.95372631452968604</v>
      </c>
      <c r="H11" s="25">
        <f>G11*(1-'1_ENTRADA'!C23)</f>
        <v>0.94848081979977283</v>
      </c>
      <c r="I11" s="25">
        <f>H11*(1-'1_ENTRADA'!C23)</f>
        <v>0.94326417529087414</v>
      </c>
      <c r="J11" s="25">
        <f>I11*(1-'1_ENTRADA'!C23)</f>
        <v>0.93807622232677434</v>
      </c>
      <c r="K11" s="25">
        <f>J11*(1-'1_ENTRADA'!C23)</f>
        <v>0.93291680310397718</v>
      </c>
      <c r="L11" s="25">
        <f>K11*(1-'1_ENTRADA'!C23)</f>
        <v>0.92778576068690533</v>
      </c>
      <c r="M11" s="25">
        <f>L11*(1-'1_ENTRADA'!C23)</f>
        <v>0.92268293900312737</v>
      </c>
      <c r="N11" s="25">
        <f>M11*(1-'1_ENTRADA'!C23)</f>
        <v>0.91760818283861023</v>
      </c>
      <c r="O11" s="25">
        <f>N11*(1-'1_ENTRADA'!C23)</f>
        <v>0.91256133783299798</v>
      </c>
      <c r="P11" s="25">
        <f>O11*(1-'1_ENTRADA'!C23)</f>
        <v>0.90754225047491655</v>
      </c>
      <c r="Q11" s="25">
        <f>P11*(1-'1_ENTRADA'!C23)</f>
        <v>0.9025507680973045</v>
      </c>
      <c r="R11" s="25">
        <f>Q11*(1-'1_ENTRADA'!C23)</f>
        <v>0.89758673887276941</v>
      </c>
      <c r="S11" s="25">
        <f>R11*(1-'1_ENTRADA'!C23)</f>
        <v>0.89265001180896919</v>
      </c>
      <c r="T11" s="25">
        <f>S11*(1-'1_ENTRADA'!C23)</f>
        <v>0.88774043674401992</v>
      </c>
      <c r="U11" s="25">
        <f>T11*(1-'1_ENTRADA'!C23)</f>
        <v>0.88285786434192781</v>
      </c>
      <c r="V11" s="25">
        <f>U11*(1-'1_ENTRADA'!C23)</f>
        <v>0.87800214608804728</v>
      </c>
      <c r="W11" s="25">
        <f>V11*(1-'1_ENTRADA'!C23)</f>
        <v>0.87317313428456311</v>
      </c>
      <c r="X11" s="25">
        <f>W11*(1-'1_ENTRADA'!C23)</f>
        <v>0.8683706820459981</v>
      </c>
      <c r="Y11" s="25">
        <f>X11*(1-'1_ENTRADA'!C23)</f>
        <v>0.86359464329474511</v>
      </c>
      <c r="Z11" s="25">
        <f>Y11*(1-'1_ENTRADA'!C23)</f>
        <v>0.85884487275662402</v>
      </c>
      <c r="AA11" s="25">
        <f>Z11*(1-'1_ENTRADA'!C23)</f>
        <v>0.85412122595646267</v>
      </c>
    </row>
    <row r="12" spans="1:27" ht="16.5" customHeight="1" x14ac:dyDescent="0.25">
      <c r="A12" s="26" t="s">
        <v>146</v>
      </c>
      <c r="B12" s="13">
        <v>0</v>
      </c>
      <c r="C12" s="27">
        <f t="shared" ref="C12:AA12" si="0">C8+C9+C10</f>
        <v>29292480.899999999</v>
      </c>
      <c r="D12" s="27">
        <f t="shared" si="0"/>
        <v>29198048.75505</v>
      </c>
      <c r="E12" s="27">
        <f t="shared" si="0"/>
        <v>29104135.986897226</v>
      </c>
      <c r="F12" s="27">
        <f t="shared" si="0"/>
        <v>29010739.738969292</v>
      </c>
      <c r="G12" s="27">
        <f t="shared" si="0"/>
        <v>28917857.170404959</v>
      </c>
      <c r="H12" s="27">
        <f t="shared" si="0"/>
        <v>16702485.455967735</v>
      </c>
      <c r="I12" s="27">
        <f t="shared" si="0"/>
        <v>16610621.785959912</v>
      </c>
      <c r="J12" s="27">
        <f t="shared" si="0"/>
        <v>16519263.366137134</v>
      </c>
      <c r="K12" s="27">
        <f t="shared" si="0"/>
        <v>16428407.417623382</v>
      </c>
      <c r="L12" s="27">
        <f t="shared" si="0"/>
        <v>16338051.176826453</v>
      </c>
      <c r="M12" s="27">
        <f t="shared" si="0"/>
        <v>16248191.895353908</v>
      </c>
      <c r="N12" s="27">
        <f t="shared" si="0"/>
        <v>16158826.839929463</v>
      </c>
      <c r="O12" s="27">
        <f t="shared" si="0"/>
        <v>16069953.292309852</v>
      </c>
      <c r="P12" s="27">
        <f t="shared" si="0"/>
        <v>15981568.54920215</v>
      </c>
      <c r="Q12" s="27">
        <f t="shared" si="0"/>
        <v>15893669.922181537</v>
      </c>
      <c r="R12" s="27">
        <f t="shared" si="0"/>
        <v>15806254.737609541</v>
      </c>
      <c r="S12" s="27">
        <f t="shared" si="0"/>
        <v>15719320.336552689</v>
      </c>
      <c r="T12" s="27">
        <f t="shared" si="0"/>
        <v>15632864.07470165</v>
      </c>
      <c r="U12" s="27">
        <f t="shared" si="0"/>
        <v>15546883.322290791</v>
      </c>
      <c r="V12" s="27">
        <f t="shared" si="0"/>
        <v>15461375.464018192</v>
      </c>
      <c r="W12" s="27">
        <f t="shared" si="0"/>
        <v>15376337.898966094</v>
      </c>
      <c r="X12" s="27">
        <f t="shared" si="0"/>
        <v>15291768.040521782</v>
      </c>
      <c r="Y12" s="27">
        <f t="shared" si="0"/>
        <v>15207663.316298911</v>
      </c>
      <c r="Z12" s="27">
        <f t="shared" si="0"/>
        <v>15124021.168059269</v>
      </c>
      <c r="AA12" s="27">
        <f t="shared" si="0"/>
        <v>15040839.051634943</v>
      </c>
    </row>
    <row r="13" spans="1:27" ht="18" customHeight="1" x14ac:dyDescent="0.25">
      <c r="A13" s="61" t="s">
        <v>147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27" ht="16.5" customHeight="1" x14ac:dyDescent="0.25">
      <c r="A14" s="23" t="s">
        <v>148</v>
      </c>
      <c r="B14" s="11">
        <v>0</v>
      </c>
      <c r="C14" s="11">
        <f>'1_ENTRADA'!$E47*'1_ENTRADA'!$C57</f>
        <v>3636900</v>
      </c>
      <c r="D14" s="11">
        <f>'1_ENTRADA'!$E47*'1_ENTRADA'!$C57</f>
        <v>3636900</v>
      </c>
      <c r="E14" s="11">
        <f>'1_ENTRADA'!$E47*'1_ENTRADA'!$C57</f>
        <v>3636900</v>
      </c>
      <c r="F14" s="11">
        <f>'1_ENTRADA'!$E47*'1_ENTRADA'!$C57</f>
        <v>3636900</v>
      </c>
      <c r="G14" s="11">
        <f>'1_ENTRADA'!$E47*'1_ENTRADA'!$C57</f>
        <v>3636900</v>
      </c>
      <c r="H14" s="11">
        <f>'1_ENTRADA'!$E47*'1_ENTRADA'!$C57</f>
        <v>3636900</v>
      </c>
      <c r="I14" s="11">
        <f>'1_ENTRADA'!$E47*'1_ENTRADA'!$C57</f>
        <v>3636900</v>
      </c>
      <c r="J14" s="11">
        <f>'1_ENTRADA'!$E47*'1_ENTRADA'!$C57</f>
        <v>3636900</v>
      </c>
      <c r="K14" s="11">
        <f>'1_ENTRADA'!$E47*'1_ENTRADA'!$C57</f>
        <v>3636900</v>
      </c>
      <c r="L14" s="11">
        <f>'1_ENTRADA'!$E47*'1_ENTRADA'!$C57</f>
        <v>3636900</v>
      </c>
      <c r="M14" s="11">
        <f>'1_ENTRADA'!$E47*'1_ENTRADA'!$C57</f>
        <v>3636900</v>
      </c>
      <c r="N14" s="11">
        <f>'1_ENTRADA'!$E47*'1_ENTRADA'!$C57</f>
        <v>3636900</v>
      </c>
      <c r="O14" s="11">
        <f>'1_ENTRADA'!$E47*'1_ENTRADA'!$C57</f>
        <v>3636900</v>
      </c>
      <c r="P14" s="11">
        <f>'1_ENTRADA'!$E47*'1_ENTRADA'!$C57</f>
        <v>3636900</v>
      </c>
      <c r="Q14" s="11">
        <f>'1_ENTRADA'!$E47*'1_ENTRADA'!$C57</f>
        <v>3636900</v>
      </c>
      <c r="R14" s="11">
        <f>'1_ENTRADA'!$E47*'1_ENTRADA'!$C57</f>
        <v>3636900</v>
      </c>
      <c r="S14" s="11">
        <f>'1_ENTRADA'!$E47*'1_ENTRADA'!$C57</f>
        <v>3636900</v>
      </c>
      <c r="T14" s="11">
        <f>'1_ENTRADA'!$E47*'1_ENTRADA'!$C57</f>
        <v>3636900</v>
      </c>
      <c r="U14" s="11">
        <f>'1_ENTRADA'!$E47*'1_ENTRADA'!$C57</f>
        <v>3636900</v>
      </c>
      <c r="V14" s="11">
        <f>'1_ENTRADA'!$E47*'1_ENTRADA'!$C57</f>
        <v>3636900</v>
      </c>
      <c r="W14" s="11">
        <f>'1_ENTRADA'!$E47*'1_ENTRADA'!$C57</f>
        <v>3636900</v>
      </c>
      <c r="X14" s="11">
        <f>'1_ENTRADA'!$E47*'1_ENTRADA'!$C57</f>
        <v>3636900</v>
      </c>
      <c r="Y14" s="11">
        <f>'1_ENTRADA'!$E47*'1_ENTRADA'!$C57</f>
        <v>3636900</v>
      </c>
      <c r="Z14" s="11">
        <f>'1_ENTRADA'!$E47*'1_ENTRADA'!$C57</f>
        <v>3636900</v>
      </c>
      <c r="AA14" s="11">
        <f>'1_ENTRADA'!$E47*'1_ENTRADA'!$C57</f>
        <v>3636900</v>
      </c>
    </row>
    <row r="15" spans="1:27" ht="16.5" customHeight="1" x14ac:dyDescent="0.25">
      <c r="A15" s="23" t="s">
        <v>149</v>
      </c>
      <c r="B15" s="11">
        <v>0</v>
      </c>
      <c r="C15" s="11">
        <f>IF(C2&lt;='1_ENTRADA'!$C58,'1_ENTRADA'!$E47*'1_ENTRADA'!$C59/'1_ENTRADA'!$C58,0)</f>
        <v>9455940</v>
      </c>
      <c r="D15" s="11">
        <f>IF(D2&lt;='1_ENTRADA'!$C58,'1_ENTRADA'!$E47*'1_ENTRADA'!$C59/'1_ENTRADA'!$C58,0)</f>
        <v>9455940</v>
      </c>
      <c r="E15" s="11">
        <f>IF(E2&lt;='1_ENTRADA'!$C58,'1_ENTRADA'!$E47*'1_ENTRADA'!$C59/'1_ENTRADA'!$C58,0)</f>
        <v>9455940</v>
      </c>
      <c r="F15" s="11">
        <f>IF(F2&lt;='1_ENTRADA'!$C58,'1_ENTRADA'!$E47*'1_ENTRADA'!$C59/'1_ENTRADA'!$C58,0)</f>
        <v>9455940</v>
      </c>
      <c r="G15" s="11">
        <f>IF(G2&lt;='1_ENTRADA'!$C58,'1_ENTRADA'!$E47*'1_ENTRADA'!$C59/'1_ENTRADA'!$C58,0)</f>
        <v>9455940</v>
      </c>
      <c r="H15" s="11">
        <f>IF(H2&lt;='1_ENTRADA'!$C58,'1_ENTRADA'!$E47*'1_ENTRADA'!$C59/'1_ENTRADA'!$C58,0)</f>
        <v>0</v>
      </c>
      <c r="I15" s="11">
        <f>IF(I2&lt;='1_ENTRADA'!$C58,'1_ENTRADA'!$E47*'1_ENTRADA'!$C59/'1_ENTRADA'!$C58,0)</f>
        <v>0</v>
      </c>
      <c r="J15" s="11">
        <f>IF(J2&lt;='1_ENTRADA'!$C58,'1_ENTRADA'!$E47*'1_ENTRADA'!$C59/'1_ENTRADA'!$C58,0)</f>
        <v>0</v>
      </c>
      <c r="K15" s="11">
        <f>IF(K2&lt;='1_ENTRADA'!$C58,'1_ENTRADA'!$E47*'1_ENTRADA'!$C59/'1_ENTRADA'!$C58,0)</f>
        <v>0</v>
      </c>
      <c r="L15" s="11">
        <f>IF(L2&lt;='1_ENTRADA'!$C58,'1_ENTRADA'!$E47*'1_ENTRADA'!$C59/'1_ENTRADA'!$C58,0)</f>
        <v>0</v>
      </c>
      <c r="M15" s="11">
        <f>IF(M2&lt;='1_ENTRADA'!$C58,'1_ENTRADA'!$E47*'1_ENTRADA'!$C59/'1_ENTRADA'!$C58,0)</f>
        <v>0</v>
      </c>
      <c r="N15" s="11">
        <f>IF(N2&lt;='1_ENTRADA'!$C58,'1_ENTRADA'!$E47*'1_ENTRADA'!$C59/'1_ENTRADA'!$C58,0)</f>
        <v>0</v>
      </c>
      <c r="O15" s="11">
        <f>IF(O2&lt;='1_ENTRADA'!$C58,'1_ENTRADA'!$E47*'1_ENTRADA'!$C59/'1_ENTRADA'!$C58,0)</f>
        <v>0</v>
      </c>
      <c r="P15" s="11">
        <f>IF(P2&lt;='1_ENTRADA'!$C58,'1_ENTRADA'!$E47*'1_ENTRADA'!$C59/'1_ENTRADA'!$C58,0)</f>
        <v>0</v>
      </c>
      <c r="Q15" s="11">
        <f>IF(Q2&lt;='1_ENTRADA'!$C58,'1_ENTRADA'!$E47*'1_ENTRADA'!$C59/'1_ENTRADA'!$C58,0)</f>
        <v>0</v>
      </c>
      <c r="R15" s="11">
        <f>IF(R2&lt;='1_ENTRADA'!$C58,'1_ENTRADA'!$E47*'1_ENTRADA'!$C59/'1_ENTRADA'!$C58,0)</f>
        <v>0</v>
      </c>
      <c r="S15" s="11">
        <f>IF(S2&lt;='1_ENTRADA'!$C58,'1_ENTRADA'!$E47*'1_ENTRADA'!$C59/'1_ENTRADA'!$C58,0)</f>
        <v>0</v>
      </c>
      <c r="T15" s="11">
        <f>IF(T2&lt;='1_ENTRADA'!$C58,'1_ENTRADA'!$E47*'1_ENTRADA'!$C59/'1_ENTRADA'!$C58,0)</f>
        <v>0</v>
      </c>
      <c r="U15" s="11">
        <f>IF(U2&lt;='1_ENTRADA'!$C58,'1_ENTRADA'!$E47*'1_ENTRADA'!$C59/'1_ENTRADA'!$C58,0)</f>
        <v>0</v>
      </c>
      <c r="V15" s="11">
        <f>IF(V2&lt;='1_ENTRADA'!$C58,'1_ENTRADA'!$E47*'1_ENTRADA'!$C59/'1_ENTRADA'!$C58,0)</f>
        <v>0</v>
      </c>
      <c r="W15" s="11">
        <f>IF(W2&lt;='1_ENTRADA'!$C58,'1_ENTRADA'!$E47*'1_ENTRADA'!$C59/'1_ENTRADA'!$C58,0)</f>
        <v>0</v>
      </c>
      <c r="X15" s="11">
        <f>IF(X2&lt;='1_ENTRADA'!$C58,'1_ENTRADA'!$E47*'1_ENTRADA'!$C59/'1_ENTRADA'!$C58,0)</f>
        <v>0</v>
      </c>
      <c r="Y15" s="11">
        <f>IF(Y2&lt;='1_ENTRADA'!$C58,'1_ENTRADA'!$E47*'1_ENTRADA'!$C59/'1_ENTRADA'!$C58,0)</f>
        <v>0</v>
      </c>
      <c r="Z15" s="11">
        <f>IF(Z2&lt;='1_ENTRADA'!$C58,'1_ENTRADA'!$E47*'1_ENTRADA'!$C59/'1_ENTRADA'!$C58,0)</f>
        <v>0</v>
      </c>
      <c r="AA15" s="11">
        <f>IF(AA2&lt;='1_ENTRADA'!$C58,'1_ENTRADA'!$E47*'1_ENTRADA'!$C59/'1_ENTRADA'!$C58,0)</f>
        <v>0</v>
      </c>
    </row>
    <row r="16" spans="1:27" ht="16.5" customHeight="1" x14ac:dyDescent="0.25">
      <c r="A16" s="23" t="s">
        <v>150</v>
      </c>
      <c r="B16" s="11">
        <v>0</v>
      </c>
      <c r="C16" s="11">
        <f>IF(AND('1_ENTRADA'!C64="SI",1&lt;='1_ENTRADA'!C67),-IPMT('1_ENTRADA'!C68,1,'1_ENTRADA'!C67,'1_ENTRADA'!C66),0)</f>
        <v>15274980</v>
      </c>
      <c r="D16" s="11">
        <f>IF(AND('1_ENTRADA'!C64="SI",2&lt;='1_ENTRADA'!C67),-IPMT('1_ENTRADA'!C68,2,'1_ENTRADA'!C67,'1_ENTRADA'!C66),0)</f>
        <v>13139876.26214147</v>
      </c>
      <c r="E16" s="11">
        <f>IF(AND('1_ENTRADA'!C64="SI",3&lt;='1_ENTRADA'!C67),-IPMT('1_ENTRADA'!C68,3,'1_ENTRADA'!C67,'1_ENTRADA'!C66),0)</f>
        <v>10620453.851468399</v>
      </c>
      <c r="F16" s="11">
        <f>IF(AND('1_ENTRADA'!C64="SI",4&lt;='1_ENTRADA'!C67),-IPMT('1_ENTRADA'!C68,4,'1_ENTRADA'!C67,'1_ENTRADA'!C66),0)</f>
        <v>7647535.4068741761</v>
      </c>
      <c r="G16" s="11">
        <f>IF(AND('1_ENTRADA'!C64="SI",5&lt;='1_ENTRADA'!C67),-IPMT('1_ENTRADA'!C68,5,'1_ENTRADA'!C67,'1_ENTRADA'!C66),0)</f>
        <v>4139491.6422529942</v>
      </c>
      <c r="H16" s="11">
        <f>IF(AND('1_ENTRADA'!C64="SI",6&lt;='1_ENTRADA'!C67),-IPMT('1_ENTRADA'!C68,6,'1_ENTRADA'!C67,'1_ENTRADA'!C66),0)</f>
        <v>0</v>
      </c>
      <c r="I16" s="11">
        <f>IF(AND('1_ENTRADA'!C64="SI",7&lt;='1_ENTRADA'!C67),-IPMT('1_ENTRADA'!C68,7,'1_ENTRADA'!C67,'1_ENTRADA'!C66),0)</f>
        <v>0</v>
      </c>
      <c r="J16" s="11">
        <f>IF(AND('1_ENTRADA'!C64="SI",8&lt;='1_ENTRADA'!C67),-IPMT('1_ENTRADA'!C68,8,'1_ENTRADA'!C67,'1_ENTRADA'!C66),0)</f>
        <v>0</v>
      </c>
      <c r="K16" s="11">
        <f>IF(AND('1_ENTRADA'!C64="SI",9&lt;='1_ENTRADA'!C67),-IPMT('1_ENTRADA'!C68,9,'1_ENTRADA'!C67,'1_ENTRADA'!C66),0)</f>
        <v>0</v>
      </c>
      <c r="L16" s="11">
        <f>IF(AND('1_ENTRADA'!C64="SI",10&lt;='1_ENTRADA'!C67),-IPMT('1_ENTRADA'!C68,10,'1_ENTRADA'!C67,'1_ENTRADA'!C66),0)</f>
        <v>0</v>
      </c>
      <c r="M16" s="11">
        <f>IF(AND('1_ENTRADA'!C64="SI",11&lt;='1_ENTRADA'!C67),-IPMT('1_ENTRADA'!C68,11,'1_ENTRADA'!C67,'1_ENTRADA'!C66),0)</f>
        <v>0</v>
      </c>
      <c r="N16" s="11">
        <f>IF(AND('1_ENTRADA'!C64="SI",12&lt;='1_ENTRADA'!C67),-IPMT('1_ENTRADA'!C68,12,'1_ENTRADA'!C67,'1_ENTRADA'!C66),0)</f>
        <v>0</v>
      </c>
      <c r="O16" s="11">
        <f>IF(AND('1_ENTRADA'!C64="SI",13&lt;='1_ENTRADA'!C67),-IPMT('1_ENTRADA'!C68,13,'1_ENTRADA'!C67,'1_ENTRADA'!C66),0)</f>
        <v>0</v>
      </c>
      <c r="P16" s="11">
        <f>IF(AND('1_ENTRADA'!C64="SI",14&lt;='1_ENTRADA'!C67),-IPMT('1_ENTRADA'!C68,14,'1_ENTRADA'!C67,'1_ENTRADA'!C66),0)</f>
        <v>0</v>
      </c>
      <c r="Q16" s="11">
        <f>IF(AND('1_ENTRADA'!C64="SI",15&lt;='1_ENTRADA'!C67),-IPMT('1_ENTRADA'!C68,15,'1_ENTRADA'!C67,'1_ENTRADA'!C66),0)</f>
        <v>0</v>
      </c>
      <c r="R16" s="11">
        <f>IF(AND('1_ENTRADA'!C64="SI",16&lt;='1_ENTRADA'!C67),-IPMT('1_ENTRADA'!C68,16,'1_ENTRADA'!C67,'1_ENTRADA'!C66),0)</f>
        <v>0</v>
      </c>
      <c r="S16" s="11">
        <f>IF(AND('1_ENTRADA'!C64="SI",17&lt;='1_ENTRADA'!C67),-IPMT('1_ENTRADA'!C68,17,'1_ENTRADA'!C67,'1_ENTRADA'!C66),0)</f>
        <v>0</v>
      </c>
      <c r="T16" s="11">
        <f>IF(AND('1_ENTRADA'!C64="SI",18&lt;='1_ENTRADA'!C67),-IPMT('1_ENTRADA'!C68,18,'1_ENTRADA'!C67,'1_ENTRADA'!C66),0)</f>
        <v>0</v>
      </c>
      <c r="U16" s="11">
        <f>IF(AND('1_ENTRADA'!C64="SI",19&lt;='1_ENTRADA'!C67),-IPMT('1_ENTRADA'!C68,19,'1_ENTRADA'!C67,'1_ENTRADA'!C66),0)</f>
        <v>0</v>
      </c>
      <c r="V16" s="11">
        <f>IF(AND('1_ENTRADA'!C64="SI",20&lt;='1_ENTRADA'!C67),-IPMT('1_ENTRADA'!C68,20,'1_ENTRADA'!C67,'1_ENTRADA'!C66),0)</f>
        <v>0</v>
      </c>
      <c r="W16" s="11">
        <f>IF(AND('1_ENTRADA'!C64="SI",21&lt;='1_ENTRADA'!C67),-IPMT('1_ENTRADA'!C68,21,'1_ENTRADA'!C67,'1_ENTRADA'!C66),0)</f>
        <v>0</v>
      </c>
      <c r="X16" s="11">
        <f>IF(AND('1_ENTRADA'!C64="SI",22&lt;='1_ENTRADA'!C67),-IPMT('1_ENTRADA'!C68,22,'1_ENTRADA'!C67,'1_ENTRADA'!C66),0)</f>
        <v>0</v>
      </c>
      <c r="Y16" s="11">
        <f>IF(AND('1_ENTRADA'!C64="SI",23&lt;='1_ENTRADA'!C67),-IPMT('1_ENTRADA'!C68,23,'1_ENTRADA'!C67,'1_ENTRADA'!C66),0)</f>
        <v>0</v>
      </c>
      <c r="Z16" s="11">
        <f>IF(AND('1_ENTRADA'!C64="SI",24&lt;='1_ENTRADA'!C67),-IPMT('1_ENTRADA'!C68,24,'1_ENTRADA'!C67,'1_ENTRADA'!C66),0)</f>
        <v>0</v>
      </c>
      <c r="AA16" s="11">
        <f>IF(AND('1_ENTRADA'!C64="SI",25&lt;='1_ENTRADA'!C67),-IPMT('1_ENTRADA'!C68,25,'1_ENTRADA'!C67,'1_ENTRADA'!C66),0)</f>
        <v>0</v>
      </c>
    </row>
    <row r="17" spans="1:27" ht="16.5" customHeight="1" x14ac:dyDescent="0.25">
      <c r="A17" s="28" t="s">
        <v>151</v>
      </c>
      <c r="B17" s="13">
        <v>0</v>
      </c>
      <c r="C17" s="29">
        <f t="shared" ref="C17:AA17" si="1">C14+C15+C16</f>
        <v>28367820</v>
      </c>
      <c r="D17" s="29">
        <f t="shared" si="1"/>
        <v>26232716.26214147</v>
      </c>
      <c r="E17" s="29">
        <f t="shared" si="1"/>
        <v>23713293.851468399</v>
      </c>
      <c r="F17" s="29">
        <f t="shared" si="1"/>
        <v>20740375.406874176</v>
      </c>
      <c r="G17" s="29">
        <f t="shared" si="1"/>
        <v>17232331.642252993</v>
      </c>
      <c r="H17" s="29">
        <f t="shared" si="1"/>
        <v>3636900</v>
      </c>
      <c r="I17" s="29">
        <f t="shared" si="1"/>
        <v>3636900</v>
      </c>
      <c r="J17" s="29">
        <f t="shared" si="1"/>
        <v>3636900</v>
      </c>
      <c r="K17" s="29">
        <f t="shared" si="1"/>
        <v>3636900</v>
      </c>
      <c r="L17" s="29">
        <f t="shared" si="1"/>
        <v>3636900</v>
      </c>
      <c r="M17" s="29">
        <f t="shared" si="1"/>
        <v>3636900</v>
      </c>
      <c r="N17" s="29">
        <f t="shared" si="1"/>
        <v>3636900</v>
      </c>
      <c r="O17" s="29">
        <f t="shared" si="1"/>
        <v>3636900</v>
      </c>
      <c r="P17" s="29">
        <f t="shared" si="1"/>
        <v>3636900</v>
      </c>
      <c r="Q17" s="29">
        <f t="shared" si="1"/>
        <v>3636900</v>
      </c>
      <c r="R17" s="29">
        <f t="shared" si="1"/>
        <v>3636900</v>
      </c>
      <c r="S17" s="29">
        <f t="shared" si="1"/>
        <v>3636900</v>
      </c>
      <c r="T17" s="29">
        <f t="shared" si="1"/>
        <v>3636900</v>
      </c>
      <c r="U17" s="29">
        <f t="shared" si="1"/>
        <v>3636900</v>
      </c>
      <c r="V17" s="29">
        <f t="shared" si="1"/>
        <v>3636900</v>
      </c>
      <c r="W17" s="29">
        <f t="shared" si="1"/>
        <v>3636900</v>
      </c>
      <c r="X17" s="29">
        <f t="shared" si="1"/>
        <v>3636900</v>
      </c>
      <c r="Y17" s="29">
        <f t="shared" si="1"/>
        <v>3636900</v>
      </c>
      <c r="Z17" s="29">
        <f t="shared" si="1"/>
        <v>3636900</v>
      </c>
      <c r="AA17" s="29">
        <f t="shared" si="1"/>
        <v>3636900</v>
      </c>
    </row>
    <row r="18" spans="1:27" ht="18" customHeight="1" x14ac:dyDescent="0.25">
      <c r="A18" s="59" t="s">
        <v>152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 spans="1:27" ht="16.5" customHeight="1" x14ac:dyDescent="0.25">
      <c r="A19" s="23" t="s">
        <v>153</v>
      </c>
      <c r="B19" s="11">
        <v>0</v>
      </c>
      <c r="C19" s="11">
        <f t="shared" ref="C19:AA19" si="2">C12-C17</f>
        <v>924660.89999999851</v>
      </c>
      <c r="D19" s="11">
        <f t="shared" si="2"/>
        <v>2965332.4929085299</v>
      </c>
      <c r="E19" s="11">
        <f t="shared" si="2"/>
        <v>5390842.1354288273</v>
      </c>
      <c r="F19" s="11">
        <f t="shared" si="2"/>
        <v>8270364.3320951164</v>
      </c>
      <c r="G19" s="11">
        <f t="shared" si="2"/>
        <v>11685525.528151967</v>
      </c>
      <c r="H19" s="11">
        <f t="shared" si="2"/>
        <v>13065585.455967735</v>
      </c>
      <c r="I19" s="11">
        <f t="shared" si="2"/>
        <v>12973721.785959912</v>
      </c>
      <c r="J19" s="11">
        <f t="shared" si="2"/>
        <v>12882363.366137134</v>
      </c>
      <c r="K19" s="11">
        <f t="shared" si="2"/>
        <v>12791507.417623382</v>
      </c>
      <c r="L19" s="11">
        <f t="shared" si="2"/>
        <v>12701151.176826453</v>
      </c>
      <c r="M19" s="11">
        <f t="shared" si="2"/>
        <v>12611291.895353908</v>
      </c>
      <c r="N19" s="11">
        <f t="shared" si="2"/>
        <v>12521926.839929463</v>
      </c>
      <c r="O19" s="11">
        <f t="shared" si="2"/>
        <v>12433053.292309852</v>
      </c>
      <c r="P19" s="11">
        <f t="shared" si="2"/>
        <v>12344668.54920215</v>
      </c>
      <c r="Q19" s="11">
        <f t="shared" si="2"/>
        <v>12256769.922181537</v>
      </c>
      <c r="R19" s="11">
        <f t="shared" si="2"/>
        <v>12169354.737609541</v>
      </c>
      <c r="S19" s="11">
        <f t="shared" si="2"/>
        <v>12082420.336552689</v>
      </c>
      <c r="T19" s="11">
        <f t="shared" si="2"/>
        <v>11995964.07470165</v>
      </c>
      <c r="U19" s="11">
        <f t="shared" si="2"/>
        <v>11909983.322290791</v>
      </c>
      <c r="V19" s="11">
        <f t="shared" si="2"/>
        <v>11824475.464018192</v>
      </c>
      <c r="W19" s="11">
        <f t="shared" si="2"/>
        <v>11739437.898966094</v>
      </c>
      <c r="X19" s="11">
        <f t="shared" si="2"/>
        <v>11654868.040521782</v>
      </c>
      <c r="Y19" s="11">
        <f t="shared" si="2"/>
        <v>11570763.316298911</v>
      </c>
      <c r="Z19" s="11">
        <f t="shared" si="2"/>
        <v>11487121.168059269</v>
      </c>
      <c r="AA19" s="11">
        <f t="shared" si="2"/>
        <v>11403939.051634943</v>
      </c>
    </row>
    <row r="20" spans="1:27" ht="16.5" customHeight="1" x14ac:dyDescent="0.25">
      <c r="A20" s="23" t="s">
        <v>154</v>
      </c>
      <c r="B20" s="11">
        <v>0</v>
      </c>
      <c r="C20" s="11">
        <f>IF(C19&gt;0,C19*'1_ENTRADA'!C60,0)</f>
        <v>305138.09699999954</v>
      </c>
      <c r="D20" s="11">
        <f>IF(D19&gt;0,D19*'1_ENTRADA'!C60,0)</f>
        <v>978559.72265981487</v>
      </c>
      <c r="E20" s="11">
        <f>IF(E19&gt;0,E19*'1_ENTRADA'!C60,0)</f>
        <v>1778977.9046915132</v>
      </c>
      <c r="F20" s="11">
        <f>IF(F19&gt;0,F19*'1_ENTRADA'!C60,0)</f>
        <v>2729220.2295913887</v>
      </c>
      <c r="G20" s="11">
        <f>IF(G19&gt;0,G19*'1_ENTRADA'!C60,0)</f>
        <v>3856223.424290149</v>
      </c>
      <c r="H20" s="11">
        <f>IF(H19&gt;0,H19*'1_ENTRADA'!C60,0)</f>
        <v>4311643.2004693532</v>
      </c>
      <c r="I20" s="11">
        <f>IF(I19&gt;0,I19*'1_ENTRADA'!C60,0)</f>
        <v>4281328.1893667709</v>
      </c>
      <c r="J20" s="11">
        <f>IF(J19&gt;0,J19*'1_ENTRADA'!C60,0)</f>
        <v>4251179.9108252544</v>
      </c>
      <c r="K20" s="11">
        <f>IF(K19&gt;0,K19*'1_ENTRADA'!C60,0)</f>
        <v>4221197.4478157163</v>
      </c>
      <c r="L20" s="11">
        <f>IF(L19&gt;0,L19*'1_ENTRADA'!C60,0)</f>
        <v>4191379.8883527298</v>
      </c>
      <c r="M20" s="11">
        <f>IF(M19&gt;0,M19*'1_ENTRADA'!C60,0)</f>
        <v>4161726.3254667898</v>
      </c>
      <c r="N20" s="11">
        <f>IF(N19&gt;0,N19*'1_ENTRADA'!C60,0)</f>
        <v>4132235.857176723</v>
      </c>
      <c r="O20" s="11">
        <f>IF(O19&gt;0,O19*'1_ENTRADA'!C60,0)</f>
        <v>4102907.5864622514</v>
      </c>
      <c r="P20" s="11">
        <f>IF(P19&gt;0,P19*'1_ENTRADA'!C60,0)</f>
        <v>4073740.6212367094</v>
      </c>
      <c r="Q20" s="11">
        <f>IF(Q19&gt;0,Q19*'1_ENTRADA'!C60,0)</f>
        <v>4044734.0743199075</v>
      </c>
      <c r="R20" s="11">
        <f>IF(R19&gt;0,R19*'1_ENTRADA'!C60,0)</f>
        <v>4015887.0634111487</v>
      </c>
      <c r="S20" s="11">
        <f>IF(S19&gt;0,S19*'1_ENTRADA'!C60,0)</f>
        <v>3987198.7110623876</v>
      </c>
      <c r="T20" s="11">
        <f>IF(T19&gt;0,T19*'1_ENTRADA'!C60,0)</f>
        <v>3958668.1446515447</v>
      </c>
      <c r="U20" s="11">
        <f>IF(U19&gt;0,U19*'1_ENTRADA'!C60,0)</f>
        <v>3930294.4963559611</v>
      </c>
      <c r="V20" s="11">
        <f>IF(V19&gt;0,V19*'1_ENTRADA'!C60,0)</f>
        <v>3902076.9031260037</v>
      </c>
      <c r="W20" s="11">
        <f>IF(W19&gt;0,W19*'1_ENTRADA'!C60,0)</f>
        <v>3874014.5066588116</v>
      </c>
      <c r="X20" s="11">
        <f>IF(X19&gt;0,X19*'1_ENTRADA'!C60,0)</f>
        <v>3846106.4533721884</v>
      </c>
      <c r="Y20" s="11">
        <f>IF(Y19&gt;0,Y19*'1_ENTRADA'!C60,0)</f>
        <v>3818351.8943786412</v>
      </c>
      <c r="Z20" s="11">
        <f>IF(Z19&gt;0,Z19*'1_ENTRADA'!C60,0)</f>
        <v>3790749.9854595591</v>
      </c>
      <c r="AA20" s="11">
        <f>IF(AA19&gt;0,AA19*'1_ENTRADA'!C60,0)</f>
        <v>3763299.8870395315</v>
      </c>
    </row>
    <row r="21" spans="1:27" ht="16.5" customHeight="1" x14ac:dyDescent="0.25">
      <c r="A21" s="23" t="s">
        <v>155</v>
      </c>
      <c r="B21" s="11">
        <v>0</v>
      </c>
      <c r="C21" s="11">
        <f t="shared" ref="C21:AA21" si="3">C19-C20</f>
        <v>619522.80299999891</v>
      </c>
      <c r="D21" s="11">
        <f t="shared" si="3"/>
        <v>1986772.7702487151</v>
      </c>
      <c r="E21" s="11">
        <f t="shared" si="3"/>
        <v>3611864.2307373141</v>
      </c>
      <c r="F21" s="11">
        <f t="shared" si="3"/>
        <v>5541144.1025037281</v>
      </c>
      <c r="G21" s="11">
        <f t="shared" si="3"/>
        <v>7829302.1038618181</v>
      </c>
      <c r="H21" s="11">
        <f t="shared" si="3"/>
        <v>8753942.2554983832</v>
      </c>
      <c r="I21" s="11">
        <f t="shared" si="3"/>
        <v>8692393.5965931416</v>
      </c>
      <c r="J21" s="11">
        <f t="shared" si="3"/>
        <v>8631183.4553118795</v>
      </c>
      <c r="K21" s="11">
        <f t="shared" si="3"/>
        <v>8570309.9698076658</v>
      </c>
      <c r="L21" s="11">
        <f t="shared" si="3"/>
        <v>8509771.2884737235</v>
      </c>
      <c r="M21" s="11">
        <f t="shared" si="3"/>
        <v>8449565.5698871184</v>
      </c>
      <c r="N21" s="11">
        <f t="shared" si="3"/>
        <v>8389690.9827527404</v>
      </c>
      <c r="O21" s="11">
        <f t="shared" si="3"/>
        <v>8330145.7058476005</v>
      </c>
      <c r="P21" s="11">
        <f t="shared" si="3"/>
        <v>8270927.9279654399</v>
      </c>
      <c r="Q21" s="11">
        <f t="shared" si="3"/>
        <v>8212035.8478616299</v>
      </c>
      <c r="R21" s="11">
        <f t="shared" si="3"/>
        <v>8153467.6741983928</v>
      </c>
      <c r="S21" s="11">
        <f t="shared" si="3"/>
        <v>8095221.6254903013</v>
      </c>
      <c r="T21" s="11">
        <f t="shared" si="3"/>
        <v>8037295.9300501049</v>
      </c>
      <c r="U21" s="11">
        <f t="shared" si="3"/>
        <v>7979688.8259348301</v>
      </c>
      <c r="V21" s="11">
        <f t="shared" si="3"/>
        <v>7922398.5608921889</v>
      </c>
      <c r="W21" s="11">
        <f t="shared" si="3"/>
        <v>7865423.3923072834</v>
      </c>
      <c r="X21" s="11">
        <f t="shared" si="3"/>
        <v>7808761.587149594</v>
      </c>
      <c r="Y21" s="11">
        <f t="shared" si="3"/>
        <v>7752411.4219202697</v>
      </c>
      <c r="Z21" s="11">
        <f t="shared" si="3"/>
        <v>7696371.1825997103</v>
      </c>
      <c r="AA21" s="11">
        <f t="shared" si="3"/>
        <v>7640639.1645954121</v>
      </c>
    </row>
    <row r="22" spans="1:27" ht="16.5" customHeight="1" x14ac:dyDescent="0.25">
      <c r="A22" s="23" t="s">
        <v>156</v>
      </c>
      <c r="B22" s="11">
        <v>0</v>
      </c>
      <c r="C22" s="11">
        <f t="shared" ref="C22:AA22" si="4">C15</f>
        <v>9455940</v>
      </c>
      <c r="D22" s="11">
        <f t="shared" si="4"/>
        <v>9455940</v>
      </c>
      <c r="E22" s="11">
        <f t="shared" si="4"/>
        <v>9455940</v>
      </c>
      <c r="F22" s="11">
        <f t="shared" si="4"/>
        <v>9455940</v>
      </c>
      <c r="G22" s="11">
        <f t="shared" si="4"/>
        <v>9455940</v>
      </c>
      <c r="H22" s="11">
        <f t="shared" si="4"/>
        <v>0</v>
      </c>
      <c r="I22" s="11">
        <f t="shared" si="4"/>
        <v>0</v>
      </c>
      <c r="J22" s="11">
        <f t="shared" si="4"/>
        <v>0</v>
      </c>
      <c r="K22" s="11">
        <f t="shared" si="4"/>
        <v>0</v>
      </c>
      <c r="L22" s="11">
        <f t="shared" si="4"/>
        <v>0</v>
      </c>
      <c r="M22" s="11">
        <f t="shared" si="4"/>
        <v>0</v>
      </c>
      <c r="N22" s="11">
        <f t="shared" si="4"/>
        <v>0</v>
      </c>
      <c r="O22" s="11">
        <f t="shared" si="4"/>
        <v>0</v>
      </c>
      <c r="P22" s="11">
        <f t="shared" si="4"/>
        <v>0</v>
      </c>
      <c r="Q22" s="11">
        <f t="shared" si="4"/>
        <v>0</v>
      </c>
      <c r="R22" s="11">
        <f t="shared" si="4"/>
        <v>0</v>
      </c>
      <c r="S22" s="11">
        <f t="shared" si="4"/>
        <v>0</v>
      </c>
      <c r="T22" s="11">
        <f t="shared" si="4"/>
        <v>0</v>
      </c>
      <c r="U22" s="11">
        <f t="shared" si="4"/>
        <v>0</v>
      </c>
      <c r="V22" s="11">
        <f t="shared" si="4"/>
        <v>0</v>
      </c>
      <c r="W22" s="11">
        <f t="shared" si="4"/>
        <v>0</v>
      </c>
      <c r="X22" s="11">
        <f t="shared" si="4"/>
        <v>0</v>
      </c>
      <c r="Y22" s="11">
        <f t="shared" si="4"/>
        <v>0</v>
      </c>
      <c r="Z22" s="11">
        <f t="shared" si="4"/>
        <v>0</v>
      </c>
      <c r="AA22" s="11">
        <f t="shared" si="4"/>
        <v>0</v>
      </c>
    </row>
    <row r="23" spans="1:27" ht="16.5" customHeight="1" x14ac:dyDescent="0.25">
      <c r="A23" s="12" t="s">
        <v>157</v>
      </c>
      <c r="B23" s="13">
        <v>0</v>
      </c>
      <c r="C23" s="30">
        <f t="shared" ref="C23:AA23" si="5">C21+C22</f>
        <v>10075462.802999999</v>
      </c>
      <c r="D23" s="30">
        <f t="shared" si="5"/>
        <v>11442712.770248715</v>
      </c>
      <c r="E23" s="30">
        <f t="shared" si="5"/>
        <v>13067804.230737314</v>
      </c>
      <c r="F23" s="30">
        <f t="shared" si="5"/>
        <v>14997084.102503728</v>
      </c>
      <c r="G23" s="30">
        <f t="shared" si="5"/>
        <v>17285242.103861816</v>
      </c>
      <c r="H23" s="30">
        <f t="shared" si="5"/>
        <v>8753942.2554983832</v>
      </c>
      <c r="I23" s="30">
        <f t="shared" si="5"/>
        <v>8692393.5965931416</v>
      </c>
      <c r="J23" s="30">
        <f t="shared" si="5"/>
        <v>8631183.4553118795</v>
      </c>
      <c r="K23" s="30">
        <f t="shared" si="5"/>
        <v>8570309.9698076658</v>
      </c>
      <c r="L23" s="30">
        <f t="shared" si="5"/>
        <v>8509771.2884737235</v>
      </c>
      <c r="M23" s="30">
        <f t="shared" si="5"/>
        <v>8449565.5698871184</v>
      </c>
      <c r="N23" s="30">
        <f t="shared" si="5"/>
        <v>8389690.9827527404</v>
      </c>
      <c r="O23" s="30">
        <f t="shared" si="5"/>
        <v>8330145.7058476005</v>
      </c>
      <c r="P23" s="30">
        <f t="shared" si="5"/>
        <v>8270927.9279654399</v>
      </c>
      <c r="Q23" s="30">
        <f t="shared" si="5"/>
        <v>8212035.8478616299</v>
      </c>
      <c r="R23" s="30">
        <f t="shared" si="5"/>
        <v>8153467.6741983928</v>
      </c>
      <c r="S23" s="30">
        <f t="shared" si="5"/>
        <v>8095221.6254903013</v>
      </c>
      <c r="T23" s="30">
        <f t="shared" si="5"/>
        <v>8037295.9300501049</v>
      </c>
      <c r="U23" s="30">
        <f t="shared" si="5"/>
        <v>7979688.8259348301</v>
      </c>
      <c r="V23" s="30">
        <f t="shared" si="5"/>
        <v>7922398.5608921889</v>
      </c>
      <c r="W23" s="30">
        <f t="shared" si="5"/>
        <v>7865423.3923072834</v>
      </c>
      <c r="X23" s="30">
        <f t="shared" si="5"/>
        <v>7808761.587149594</v>
      </c>
      <c r="Y23" s="30">
        <f t="shared" si="5"/>
        <v>7752411.4219202697</v>
      </c>
      <c r="Z23" s="30">
        <f t="shared" si="5"/>
        <v>7696371.1825997103</v>
      </c>
      <c r="AA23" s="30">
        <f t="shared" si="5"/>
        <v>7640639.1645954121</v>
      </c>
    </row>
    <row r="24" spans="1:27" ht="16.5" customHeight="1" x14ac:dyDescent="0.25">
      <c r="A24" s="12" t="s">
        <v>158</v>
      </c>
      <c r="B24" s="13">
        <f>B6+B23</f>
        <v>-36369000</v>
      </c>
      <c r="C24" s="30">
        <f t="shared" ref="C24:AA24" si="6">C6+C23</f>
        <v>10075462.802999999</v>
      </c>
      <c r="D24" s="30">
        <f t="shared" si="6"/>
        <v>11442712.770248715</v>
      </c>
      <c r="E24" s="30">
        <f t="shared" si="6"/>
        <v>13067804.230737314</v>
      </c>
      <c r="F24" s="30">
        <f t="shared" si="6"/>
        <v>14997084.102503728</v>
      </c>
      <c r="G24" s="30">
        <f t="shared" si="6"/>
        <v>17285242.103861816</v>
      </c>
      <c r="H24" s="30">
        <f t="shared" si="6"/>
        <v>8753942.2554983832</v>
      </c>
      <c r="I24" s="30">
        <f t="shared" si="6"/>
        <v>8692393.5965931416</v>
      </c>
      <c r="J24" s="30">
        <f t="shared" si="6"/>
        <v>8631183.4553118795</v>
      </c>
      <c r="K24" s="30">
        <f t="shared" si="6"/>
        <v>8570309.9698076658</v>
      </c>
      <c r="L24" s="30">
        <f t="shared" si="6"/>
        <v>8509771.2884737235</v>
      </c>
      <c r="M24" s="30">
        <f t="shared" si="6"/>
        <v>8449565.5698871184</v>
      </c>
      <c r="N24" s="30">
        <f t="shared" si="6"/>
        <v>8389690.9827527404</v>
      </c>
      <c r="O24" s="30">
        <f t="shared" si="6"/>
        <v>8330145.7058476005</v>
      </c>
      <c r="P24" s="30">
        <f t="shared" si="6"/>
        <v>8270927.9279654399</v>
      </c>
      <c r="Q24" s="30">
        <f t="shared" si="6"/>
        <v>8212035.8478616299</v>
      </c>
      <c r="R24" s="30">
        <f t="shared" si="6"/>
        <v>8153467.6741983928</v>
      </c>
      <c r="S24" s="30">
        <f t="shared" si="6"/>
        <v>8095221.6254903013</v>
      </c>
      <c r="T24" s="30">
        <f t="shared" si="6"/>
        <v>8037295.9300501049</v>
      </c>
      <c r="U24" s="30">
        <f t="shared" si="6"/>
        <v>7979688.8259348301</v>
      </c>
      <c r="V24" s="30">
        <f t="shared" si="6"/>
        <v>7922398.5608921889</v>
      </c>
      <c r="W24" s="30">
        <f t="shared" si="6"/>
        <v>7865423.3923072834</v>
      </c>
      <c r="X24" s="30">
        <f t="shared" si="6"/>
        <v>7808761.587149594</v>
      </c>
      <c r="Y24" s="30">
        <f t="shared" si="6"/>
        <v>7752411.4219202697</v>
      </c>
      <c r="Z24" s="30">
        <f t="shared" si="6"/>
        <v>7696371.1825997103</v>
      </c>
      <c r="AA24" s="30">
        <f t="shared" si="6"/>
        <v>7640639.1645954121</v>
      </c>
    </row>
    <row r="25" spans="1:27" ht="16.5" customHeight="1" x14ac:dyDescent="0.25">
      <c r="A25" s="23" t="s">
        <v>159</v>
      </c>
      <c r="B25" s="11">
        <f>B24</f>
        <v>-36369000</v>
      </c>
      <c r="C25" s="11">
        <f>B25+C24</f>
        <v>-26293537.197000001</v>
      </c>
      <c r="D25" s="11">
        <f t="shared" ref="D25:AA25" si="7">C25+D24</f>
        <v>-14850824.426751286</v>
      </c>
      <c r="E25" s="11">
        <f t="shared" si="7"/>
        <v>-1783020.1960139722</v>
      </c>
      <c r="F25" s="11">
        <f t="shared" si="7"/>
        <v>13214063.906489756</v>
      </c>
      <c r="G25" s="11">
        <f t="shared" si="7"/>
        <v>30499306.010351572</v>
      </c>
      <c r="H25" s="11">
        <f t="shared" si="7"/>
        <v>39253248.265849955</v>
      </c>
      <c r="I25" s="11">
        <f t="shared" si="7"/>
        <v>47945641.862443097</v>
      </c>
      <c r="J25" s="11">
        <f t="shared" si="7"/>
        <v>56576825.317754976</v>
      </c>
      <c r="K25" s="11">
        <f t="shared" si="7"/>
        <v>65147135.287562639</v>
      </c>
      <c r="L25" s="11">
        <f t="shared" si="7"/>
        <v>73656906.576036364</v>
      </c>
      <c r="M25" s="11">
        <f t="shared" si="7"/>
        <v>82106472.14592348</v>
      </c>
      <c r="N25" s="11">
        <f t="shared" si="7"/>
        <v>90496163.128676221</v>
      </c>
      <c r="O25" s="11">
        <f t="shared" si="7"/>
        <v>98826308.834523827</v>
      </c>
      <c r="P25" s="11">
        <f t="shared" si="7"/>
        <v>107097236.76248926</v>
      </c>
      <c r="Q25" s="11">
        <f t="shared" si="7"/>
        <v>115309272.61035089</v>
      </c>
      <c r="R25" s="11">
        <f t="shared" si="7"/>
        <v>123462740.28454928</v>
      </c>
      <c r="S25" s="11">
        <f t="shared" si="7"/>
        <v>131557961.91003959</v>
      </c>
      <c r="T25" s="11">
        <f t="shared" si="7"/>
        <v>139595257.84008968</v>
      </c>
      <c r="U25" s="11">
        <f t="shared" si="7"/>
        <v>147574946.66602451</v>
      </c>
      <c r="V25" s="11">
        <f t="shared" si="7"/>
        <v>155497345.2269167</v>
      </c>
      <c r="W25" s="11">
        <f t="shared" si="7"/>
        <v>163362768.61922398</v>
      </c>
      <c r="X25" s="11">
        <f t="shared" si="7"/>
        <v>171171530.20637357</v>
      </c>
      <c r="Y25" s="11">
        <f t="shared" si="7"/>
        <v>178923941.62829384</v>
      </c>
      <c r="Z25" s="11">
        <f t="shared" si="7"/>
        <v>186620312.81089357</v>
      </c>
      <c r="AA25" s="11">
        <f t="shared" si="7"/>
        <v>194260951.97548899</v>
      </c>
    </row>
    <row r="26" spans="1:27" ht="16.5" customHeight="1" x14ac:dyDescent="0.25">
      <c r="A26" s="24" t="s">
        <v>160</v>
      </c>
      <c r="B26" s="31">
        <v>1</v>
      </c>
      <c r="C26" s="31">
        <f>(1+'1_ENTRADA'!C55)^1</f>
        <v>1.0928</v>
      </c>
      <c r="D26" s="31">
        <f>(1+'1_ENTRADA'!C55)^2</f>
        <v>1.1942118399999999</v>
      </c>
      <c r="E26" s="31">
        <f>(1+'1_ENTRADA'!C55)^3</f>
        <v>1.3050346987519998</v>
      </c>
      <c r="F26" s="31">
        <f>(1+'1_ENTRADA'!C55)^4</f>
        <v>1.4261419187961855</v>
      </c>
      <c r="G26" s="31">
        <f>(1+'1_ENTRADA'!C55)^5</f>
        <v>1.5584878888604714</v>
      </c>
      <c r="H26" s="31">
        <f>(1+'1_ENTRADA'!C55)^6</f>
        <v>1.7031155649467231</v>
      </c>
      <c r="I26" s="31">
        <f>(1+'1_ENTRADA'!C55)^7</f>
        <v>1.861164689373779</v>
      </c>
      <c r="J26" s="31">
        <f>(1+'1_ENTRADA'!C55)^8</f>
        <v>2.0338807725476657</v>
      </c>
      <c r="K26" s="31">
        <f>(1+'1_ENTRADA'!C55)^9</f>
        <v>2.2226249082400891</v>
      </c>
      <c r="L26" s="31">
        <f>(1+'1_ENTRADA'!C55)^10</f>
        <v>2.4288844997247692</v>
      </c>
      <c r="M26" s="31">
        <f>(1+'1_ENTRADA'!C55)^11</f>
        <v>2.6542849812992277</v>
      </c>
      <c r="N26" s="31">
        <f>(1+'1_ENTRADA'!C55)^12</f>
        <v>2.9006026275637962</v>
      </c>
      <c r="O26" s="31">
        <f>(1+'1_ENTRADA'!C55)^13</f>
        <v>3.1697785514017163</v>
      </c>
      <c r="P26" s="31">
        <f>(1+'1_ENTRADA'!C55)^14</f>
        <v>3.4639340009717956</v>
      </c>
      <c r="Q26" s="31">
        <f>(1+'1_ENTRADA'!C55)^15</f>
        <v>3.7853870762619781</v>
      </c>
      <c r="R26" s="31">
        <f>(1+'1_ENTRADA'!C55)^16</f>
        <v>4.13667099693909</v>
      </c>
      <c r="S26" s="31">
        <f>(1+'1_ENTRADA'!C55)^17</f>
        <v>4.5205540654550376</v>
      </c>
      <c r="T26" s="31">
        <f>(1+'1_ENTRADA'!C55)^18</f>
        <v>4.9400614827292646</v>
      </c>
      <c r="U26" s="31">
        <f>(1+'1_ENTRADA'!C55)^19</f>
        <v>5.3984991883265403</v>
      </c>
      <c r="V26" s="31">
        <f>(1+'1_ENTRADA'!C55)^20</f>
        <v>5.8994799130032431</v>
      </c>
      <c r="W26" s="31">
        <f>(1+'1_ENTRADA'!C55)^21</f>
        <v>6.4469516489299439</v>
      </c>
      <c r="X26" s="31">
        <f>(1+'1_ENTRADA'!C55)^22</f>
        <v>7.0452287619506428</v>
      </c>
      <c r="Y26" s="31">
        <f>(1+'1_ENTRADA'!C55)^23</f>
        <v>7.6990259910596626</v>
      </c>
      <c r="Z26" s="31">
        <f>(1+'1_ENTRADA'!C55)^24</f>
        <v>8.4134956030299985</v>
      </c>
      <c r="AA26" s="31">
        <f>(1+'1_ENTRADA'!C55)^25</f>
        <v>9.1942679949911827</v>
      </c>
    </row>
    <row r="27" spans="1:27" ht="25.9" customHeight="1" x14ac:dyDescent="0.25">
      <c r="A27" s="32" t="str">
        <f>IF('1_ENTRADA'!C64="SI","FLUJO DESCONTADO con WACC — (1+WACC)^n","FLUJO DESCONTADO con TMAR real — (1+TMAR)^n")</f>
        <v>FLUJO DESCONTADO con WACC — (1+WACC)^n</v>
      </c>
      <c r="B27" s="13">
        <f>B24</f>
        <v>-36369000</v>
      </c>
      <c r="C27" s="33">
        <f>C24/(1+IF('1_ENTRADA'!$C$64="SI",'1_ENTRADA'!$C$70,'1_ENTRADA'!$C$54))^(COLUMN()-COLUMN($B$27))</f>
        <v>8992576.7149818819</v>
      </c>
      <c r="D27" s="33">
        <f>D24/(1+IF('1_ENTRADA'!$C$64="SI",'1_ENTRADA'!$C$70,'1_ENTRADA'!$C$54))^(COLUMN()-COLUMN($B$27))</f>
        <v>9115222.8640409075</v>
      </c>
      <c r="E27" s="33">
        <f>E24/(1+IF('1_ENTRADA'!$C$64="SI",'1_ENTRADA'!$C$70,'1_ENTRADA'!$C$54))^(COLUMN()-COLUMN($B$27))</f>
        <v>9290948.6963390335</v>
      </c>
      <c r="F27" s="33">
        <f>F24/(1+IF('1_ENTRADA'!$C$64="SI",'1_ENTRADA'!$C$70,'1_ENTRADA'!$C$54))^(COLUMN()-COLUMN($B$27))</f>
        <v>9516635.0862010568</v>
      </c>
      <c r="G27" s="33">
        <f>G24/(1+IF('1_ENTRADA'!$C$64="SI",'1_ENTRADA'!$C$70,'1_ENTRADA'!$C$54))^(COLUMN()-COLUMN($B$27))</f>
        <v>9789741.0408905242</v>
      </c>
      <c r="H27" s="33">
        <f>H24/(1+IF('1_ENTRADA'!$C$64="SI",'1_ENTRADA'!$C$70,'1_ENTRADA'!$C$54))^(COLUMN()-COLUMN($B$27))</f>
        <v>4425053.8696515877</v>
      </c>
      <c r="I27" s="33">
        <f>I24/(1+IF('1_ENTRADA'!$C$64="SI",'1_ENTRADA'!$C$70,'1_ENTRADA'!$C$54))^(COLUMN()-COLUMN($B$27))</f>
        <v>3921691.3944220981</v>
      </c>
      <c r="J27" s="33">
        <f>J24/(1+IF('1_ENTRADA'!$C$64="SI",'1_ENTRADA'!$C$70,'1_ENTRADA'!$C$54))^(COLUMN()-COLUMN($B$27))</f>
        <v>3475549.8902963619</v>
      </c>
      <c r="K27" s="33">
        <f>K24/(1+IF('1_ENTRADA'!$C$64="SI",'1_ENTRADA'!$C$70,'1_ENTRADA'!$C$54))^(COLUMN()-COLUMN($B$27))</f>
        <v>3080128.6513110683</v>
      </c>
      <c r="L27" s="33">
        <f>L24/(1+IF('1_ENTRADA'!$C$64="SI",'1_ENTRADA'!$C$70,'1_ENTRADA'!$C$54))^(COLUMN()-COLUMN($B$27))</f>
        <v>2729665.069439298</v>
      </c>
      <c r="M27" s="33">
        <f>M24/(1+IF('1_ENTRADA'!$C$64="SI",'1_ENTRADA'!$C$70,'1_ENTRADA'!$C$54))^(COLUMN()-COLUMN($B$27))</f>
        <v>2419050.8755860301</v>
      </c>
      <c r="N27" s="33">
        <f>N24/(1+IF('1_ENTRADA'!$C$64="SI",'1_ENTRADA'!$C$70,'1_ENTRADA'!$C$54))^(COLUMN()-COLUMN($B$27))</f>
        <v>2143757.8806733559</v>
      </c>
      <c r="O27" s="33">
        <f>O24/(1+IF('1_ENTRADA'!$C$64="SI",'1_ENTRADA'!$C$70,'1_ENTRADA'!$C$54))^(COLUMN()-COLUMN($B$27))</f>
        <v>1899772.139814398</v>
      </c>
      <c r="P27" s="33">
        <f>P24/(1+IF('1_ENTRADA'!$C$64="SI",'1_ENTRADA'!$C$70,'1_ENTRADA'!$C$54))^(COLUMN()-COLUMN($B$27))</f>
        <v>1683535.5846169156</v>
      </c>
      <c r="Q27" s="33">
        <f>Q24/(1+IF('1_ENTRADA'!$C$64="SI",'1_ENTRADA'!$C$70,'1_ENTRADA'!$C$54))^(COLUMN()-COLUMN($B$27))</f>
        <v>1491894.2768760158</v>
      </c>
      <c r="R27" s="33">
        <f>R24/(1+IF('1_ENTRADA'!$C$64="SI",'1_ENTRADA'!$C$70,'1_ENTRADA'!$C$54))^(COLUMN()-COLUMN($B$27))</f>
        <v>1322052.5328754759</v>
      </c>
      <c r="S27" s="33">
        <f>S24/(1+IF('1_ENTRADA'!$C$64="SI",'1_ENTRADA'!$C$70,'1_ENTRADA'!$C$54))^(COLUMN()-COLUMN($B$27))</f>
        <v>1171532.2526068857</v>
      </c>
      <c r="T27" s="33">
        <f>T24/(1+IF('1_ENTRADA'!$C$64="SI",'1_ENTRADA'!$C$70,'1_ENTRADA'!$C$54))^(COLUMN()-COLUMN($B$27))</f>
        <v>1038136.8636660648</v>
      </c>
      <c r="U27" s="33">
        <f>U24/(1+IF('1_ENTRADA'!$C$64="SI",'1_ENTRADA'!$C$70,'1_ENTRADA'!$C$54))^(COLUMN()-COLUMN($B$27))</f>
        <v>919919.35648853623</v>
      </c>
      <c r="V27" s="33">
        <f>V24/(1+IF('1_ENTRADA'!$C$64="SI",'1_ENTRADA'!$C$70,'1_ENTRADA'!$C$54))^(COLUMN()-COLUMN($B$27))</f>
        <v>815153.94690830633</v>
      </c>
      <c r="W27" s="33">
        <f>W24/(1+IF('1_ENTRADA'!$C$64="SI",'1_ENTRADA'!$C$70,'1_ENTRADA'!$C$54))^(COLUMN()-COLUMN($B$27))</f>
        <v>722310.95462517848</v>
      </c>
      <c r="X27" s="33">
        <f>X24/(1+IF('1_ENTRADA'!$C$64="SI",'1_ENTRADA'!$C$70,'1_ENTRADA'!$C$54))^(COLUMN()-COLUMN($B$27))</f>
        <v>640034.53280661814</v>
      </c>
      <c r="Y27" s="33">
        <f>Y24/(1+IF('1_ENTRADA'!$C$64="SI",'1_ENTRADA'!$C$70,'1_ENTRADA'!$C$54))^(COLUMN()-COLUMN($B$27))</f>
        <v>567122.92540583282</v>
      </c>
      <c r="Z27" s="33">
        <f>Z24/(1+IF('1_ENTRADA'!$C$64="SI",'1_ENTRADA'!$C$70,'1_ENTRADA'!$C$54))^(COLUMN()-COLUMN($B$27))</f>
        <v>502510.96544685942</v>
      </c>
      <c r="AA27" s="33">
        <f>AA24/(1+IF('1_ENTRADA'!$C$64="SI",'1_ENTRADA'!$C$70,'1_ENTRADA'!$C$54))^(COLUMN()-COLUMN($B$27))</f>
        <v>445254.56004094862</v>
      </c>
    </row>
    <row r="28" spans="1:27" ht="16.5" customHeight="1" x14ac:dyDescent="0.25">
      <c r="A28" s="32" t="s">
        <v>161</v>
      </c>
      <c r="B28" s="13">
        <f>B27</f>
        <v>-36369000</v>
      </c>
      <c r="C28" s="33">
        <f>B28+C27</f>
        <v>-27376423.285018116</v>
      </c>
      <c r="D28" s="33">
        <f t="shared" ref="D28:AA28" si="8">C28+D27</f>
        <v>-18261200.420977209</v>
      </c>
      <c r="E28" s="33">
        <f t="shared" si="8"/>
        <v>-8970251.7246381752</v>
      </c>
      <c r="F28" s="33">
        <f t="shared" si="8"/>
        <v>546383.36156288162</v>
      </c>
      <c r="G28" s="33">
        <f t="shared" si="8"/>
        <v>10336124.402453406</v>
      </c>
      <c r="H28" s="33">
        <f t="shared" si="8"/>
        <v>14761178.272104993</v>
      </c>
      <c r="I28" s="33">
        <f t="shared" si="8"/>
        <v>18682869.666527092</v>
      </c>
      <c r="J28" s="33">
        <f t="shared" si="8"/>
        <v>22158419.556823455</v>
      </c>
      <c r="K28" s="33">
        <f t="shared" si="8"/>
        <v>25238548.208134525</v>
      </c>
      <c r="L28" s="33">
        <f t="shared" si="8"/>
        <v>27968213.277573824</v>
      </c>
      <c r="M28" s="33">
        <f t="shared" si="8"/>
        <v>30387264.153159853</v>
      </c>
      <c r="N28" s="33">
        <f t="shared" si="8"/>
        <v>32531022.033833209</v>
      </c>
      <c r="O28" s="33">
        <f t="shared" si="8"/>
        <v>34430794.173647605</v>
      </c>
      <c r="P28" s="33">
        <f t="shared" si="8"/>
        <v>36114329.758264519</v>
      </c>
      <c r="Q28" s="33">
        <f t="shared" si="8"/>
        <v>37606224.035140537</v>
      </c>
      <c r="R28" s="33">
        <f t="shared" si="8"/>
        <v>38928276.568016015</v>
      </c>
      <c r="S28" s="33">
        <f t="shared" si="8"/>
        <v>40099808.820622899</v>
      </c>
      <c r="T28" s="33">
        <f t="shared" si="8"/>
        <v>41137945.684288964</v>
      </c>
      <c r="U28" s="33">
        <f t="shared" si="8"/>
        <v>42057865.040777497</v>
      </c>
      <c r="V28" s="33">
        <f t="shared" si="8"/>
        <v>42873018.9876858</v>
      </c>
      <c r="W28" s="33">
        <f t="shared" si="8"/>
        <v>43595329.942310981</v>
      </c>
      <c r="X28" s="33">
        <f t="shared" si="8"/>
        <v>44235364.475117601</v>
      </c>
      <c r="Y28" s="33">
        <f t="shared" si="8"/>
        <v>44802487.400523432</v>
      </c>
      <c r="Z28" s="33">
        <f t="shared" si="8"/>
        <v>45304998.365970291</v>
      </c>
      <c r="AA28" s="33">
        <f t="shared" si="8"/>
        <v>45750252.926011242</v>
      </c>
    </row>
  </sheetData>
  <mergeCells count="5">
    <mergeCell ref="A1:AA1"/>
    <mergeCell ref="A3:AA3"/>
    <mergeCell ref="A7:AA7"/>
    <mergeCell ref="A13:AA13"/>
    <mergeCell ref="A18:AA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9"/>
  <sheetViews>
    <sheetView showGridLines="0" zoomScale="85" zoomScaleNormal="85" workbookViewId="0">
      <pane xSplit="1" ySplit="1" topLeftCell="B2" activePane="bottomRight" state="frozen"/>
      <selection pane="topRight" activeCell="C1" sqref="C1"/>
      <selection pane="bottomLeft" activeCell="A8" sqref="A8"/>
      <selection pane="bottomRight" activeCell="C18" sqref="C18"/>
    </sheetView>
  </sheetViews>
  <sheetFormatPr baseColWidth="10" defaultColWidth="8.5703125" defaultRowHeight="15" x14ac:dyDescent="0.25"/>
  <cols>
    <col min="1" max="1" width="3" customWidth="1"/>
    <col min="2" max="2" width="44" customWidth="1"/>
    <col min="3" max="3" width="37.28515625" customWidth="1"/>
    <col min="4" max="4" width="57.7109375" customWidth="1"/>
  </cols>
  <sheetData>
    <row r="1" spans="2:4" ht="31.5" customHeight="1" x14ac:dyDescent="0.25">
      <c r="B1" s="56" t="s">
        <v>162</v>
      </c>
      <c r="C1" s="56"/>
      <c r="D1" s="56"/>
    </row>
    <row r="2" spans="2:4" ht="19.5" customHeight="1" x14ac:dyDescent="0.25">
      <c r="B2" s="55" t="s">
        <v>163</v>
      </c>
      <c r="C2" s="55"/>
      <c r="D2" s="55"/>
    </row>
    <row r="3" spans="2:4" ht="18" customHeight="1" x14ac:dyDescent="0.25">
      <c r="B3" s="1" t="s">
        <v>164</v>
      </c>
      <c r="C3" s="1" t="s">
        <v>4</v>
      </c>
      <c r="D3" s="1" t="s">
        <v>165</v>
      </c>
    </row>
    <row r="4" spans="2:4" ht="25.5" x14ac:dyDescent="0.25">
      <c r="B4" s="2" t="str">
        <f>IF('1_ENTRADA'!C64="SI","VPN — Valor Presente Neto (COP) — precios constantes, WACC","VPN — Valor Presente Neto (COP) — precios constantes, TMAR real")</f>
        <v>VPN — Valor Presente Neto (COP) — precios constantes, WACC</v>
      </c>
      <c r="C4" s="21">
        <f>NPV(IF('1_ENTRADA'!C64="SI",'1_ENTRADA'!C70,'1_ENTRADA'!C54),'3_FLUJO_CAJA'!C24:AA24)+'3_FLUJO_CAJA'!B24</f>
        <v>45750252.926011249</v>
      </c>
      <c r="D4" s="34" t="str">
        <f>IF('1_ENTRADA'!C64="SI","VPN &gt; 0 → proyecto crea valor  |  Descontado a WACC (con financiamiento)","VPN &gt; 0 → proyecto crea valor  |  Descontado a TMAR (sin financiamiento)")</f>
        <v>VPN &gt; 0 → proyecto crea valor  |  Descontado a WACC (con financiamiento)</v>
      </c>
    </row>
    <row r="5" spans="2:4" ht="19.5" customHeight="1" x14ac:dyDescent="0.25">
      <c r="B5" s="2" t="s">
        <v>166</v>
      </c>
      <c r="C5" s="35">
        <f>IFERROR(IRR('3_FLUJO_CAJA'!B24:AA24),"No converge")</f>
        <v>0.31459048801556544</v>
      </c>
      <c r="D5" s="34" t="str">
        <f>IF('1_ENTRADA'!C64="SI","TIR &gt; WACC → proyecto rentable","TIR &gt; TMAR → proyecto rentable")</f>
        <v>TIR &gt; WACC → proyecto rentable</v>
      </c>
    </row>
    <row r="6" spans="2:4" ht="19.5" customHeight="1" x14ac:dyDescent="0.25">
      <c r="B6" s="2" t="str">
        <f>IF('1_ENTRADA'!C64="SI","WACC — Costo promedio ponderado de capital (%)","TMAR — Tasa mínima atractiva de retorno (%)")</f>
        <v>WACC — Costo promedio ponderado de capital (%)</v>
      </c>
      <c r="C6" s="18">
        <f>IF('1_ENTRADA'!C64="SI",'1_ENTRADA'!C70,'1_ENTRADA'!C54)</f>
        <v>0.12042</v>
      </c>
      <c r="D6" s="34" t="str">
        <f>IF('1_ENTRADA'!C64="SI","Costo mixto ponderado de deuda y equity","Costo de oportunidad del inversionista")</f>
        <v>Costo mixto ponderado de deuda y equity</v>
      </c>
    </row>
    <row r="7" spans="2:4" ht="19.5" customHeight="1" x14ac:dyDescent="0.25">
      <c r="B7" s="2" t="str">
        <f>IF('1_ENTRADA'!C64="SI","¿TIR &gt; WACC? — Viabilidad","¿TIR &gt; TMAR? — Viabilidad")</f>
        <v>¿TIR &gt; WACC? — Viabilidad</v>
      </c>
      <c r="C7" s="53" t="str">
        <f>IF(ISNUMBER(C5),IF(C5&gt;C6,IF('1_ENTRADA'!C64="SI","✅  ACEPTAR — TIR supera el WACC","✅  ACEPTAR — TIR supera la TMAR"),IF('1_ENTRADA'!C64="SI","❌  RECHAZAR — TIR &lt; WACC","❌  RECHAZAR — TIR &lt; TMAR")),"Revisar flujos")</f>
        <v>✅  ACEPTAR — TIR supera el WACC</v>
      </c>
      <c r="D7" s="34" t="s">
        <v>167</v>
      </c>
    </row>
    <row r="8" spans="2:4" ht="19.5" customHeight="1" x14ac:dyDescent="0.25">
      <c r="B8" s="2" t="s">
        <v>168</v>
      </c>
      <c r="C8" s="36">
        <f>IFERROR((SUM('3_FLUJO_CAJA'!C12:AA12)+'3_FLUJO_CAJA'!B12)/(ABS('3_FLUJO_CAJA'!B4)+SUM('3_FLUJO_CAJA'!C17:AA17)+'3_FLUJO_CAJA'!B17),"Error")</f>
        <v>1.4912969005857848</v>
      </c>
      <c r="D8" s="34" t="s">
        <v>169</v>
      </c>
    </row>
    <row r="9" spans="2:4" ht="19.5" customHeight="1" x14ac:dyDescent="0.25">
      <c r="B9" s="2" t="s">
        <v>170</v>
      </c>
      <c r="C9" s="18">
        <f>IFERROR((SUM('3_FLUJO_CAJA'!C24:AA24)+'3_FLUJO_CAJA'!B24-'1_ENTRADA'!C47)/'1_ENTRADA'!C47,0)</f>
        <v>0.75961007224174815</v>
      </c>
      <c r="D9" s="34" t="s">
        <v>171</v>
      </c>
    </row>
    <row r="10" spans="2:4" ht="19.5" customHeight="1" x14ac:dyDescent="0.25">
      <c r="B10" s="2" t="s">
        <v>172</v>
      </c>
      <c r="C10" s="47" cm="1">
        <f t="array" ref="C10">IFERROR(MATCH(TRUE(),INDEX('3_FLUJO_CAJA'!C25:AA25&gt;=0,0),0)-1+ABS(INDEX('3_FLUJO_CAJA'!B25:Z25,MATCH(TRUE(),INDEX('3_FLUJO_CAJA'!C25:AA25&gt;=0,0),0)))/INDEX('3_FLUJO_CAJA'!C24:AA24,MATCH(TRUE(),INDEX('3_FLUJO_CAJA'!C25:AA25&gt;=0,0),0)),"&gt;25 años")</f>
        <v>3.1188911246897857</v>
      </c>
      <c r="D10" s="34" t="s">
        <v>173</v>
      </c>
    </row>
    <row r="11" spans="2:4" ht="19.5" customHeight="1" x14ac:dyDescent="0.25">
      <c r="B11" s="2" t="s">
        <v>174</v>
      </c>
      <c r="C11" s="47" cm="1">
        <f t="array" ref="C11">IFERROR(MATCH(TRUE(),INDEX('3_FLUJO_CAJA'!C28:AA28&gt;=0,0),0)-1+ABS(INDEX('3_FLUJO_CAJA'!B28:Z28,MATCH(TRUE(),INDEX('3_FLUJO_CAJA'!C28:AA28&gt;=0,0),0)))/INDEX('3_FLUJO_CAJA'!C27:AA27,MATCH(TRUE(),INDEX('3_FLUJO_CAJA'!C28:AA28&gt;=0,0),0)),"&gt;25 años")</f>
        <v>3.9425864965280502</v>
      </c>
      <c r="D11" s="34" t="str">
        <f>IF('1_ENTRADA'!C64="SI","Años (con fracción) hasta recuperar inversión en términos descontados — WACC","Años (con fracción) hasta recuperar inversión en términos descontados — TMAR")</f>
        <v>Años (con fracción) hasta recuperar inversión en términos descontados — WACC</v>
      </c>
    </row>
    <row r="12" spans="2:4" ht="19.5" customHeight="1" x14ac:dyDescent="0.25">
      <c r="B12" s="2" t="s">
        <v>175</v>
      </c>
      <c r="C12" s="18">
        <f>'1_ENTRADA'!C70</f>
        <v>0.12042</v>
      </c>
      <c r="D12" s="34" t="s">
        <v>176</v>
      </c>
    </row>
    <row r="13" spans="2:4" ht="19.5" customHeight="1" x14ac:dyDescent="0.25">
      <c r="B13" s="2" t="s">
        <v>177</v>
      </c>
      <c r="C13" s="11">
        <f>'1_ENTRADA'!E47</f>
        <v>121230000</v>
      </c>
      <c r="D13" s="34"/>
    </row>
    <row r="14" spans="2:4" ht="19.5" customHeight="1" x14ac:dyDescent="0.25">
      <c r="B14" s="2" t="s">
        <v>178</v>
      </c>
      <c r="C14" s="11">
        <f>'1_ENTRADA'!E48</f>
        <v>60615000</v>
      </c>
      <c r="D14" s="34" t="s">
        <v>179</v>
      </c>
    </row>
    <row r="15" spans="2:4" ht="19.5" customHeight="1" x14ac:dyDescent="0.25">
      <c r="B15" s="2" t="s">
        <v>180</v>
      </c>
      <c r="C15" s="11">
        <f>'1_ENTRADA'!E49</f>
        <v>60615000</v>
      </c>
      <c r="D15" s="34" t="s">
        <v>181</v>
      </c>
    </row>
    <row r="16" spans="2:4" ht="19.5" customHeight="1" x14ac:dyDescent="0.25">
      <c r="B16" s="2" t="s">
        <v>182</v>
      </c>
      <c r="C16" s="11">
        <f>'2_CALC_KWH'!C25</f>
        <v>1467477</v>
      </c>
      <c r="D16" s="34" t="s">
        <v>183</v>
      </c>
    </row>
    <row r="17" spans="2:4" ht="19.5" customHeight="1" x14ac:dyDescent="0.25">
      <c r="B17" s="2" t="s">
        <v>184</v>
      </c>
      <c r="C17" s="11">
        <f>'2_CALC_KWH'!C26</f>
        <v>17609724</v>
      </c>
      <c r="D17" s="34"/>
    </row>
    <row r="18" spans="2:4" ht="19.5" customHeight="1" x14ac:dyDescent="0.25">
      <c r="B18" s="2" t="s">
        <v>134</v>
      </c>
      <c r="C18" s="11">
        <f>'2_CALC_KWH'!C27</f>
        <v>9049180.3278688528</v>
      </c>
      <c r="D18" s="34" t="s">
        <v>185</v>
      </c>
    </row>
    <row r="19" spans="2:4" ht="19.5" customHeight="1" x14ac:dyDescent="0.25">
      <c r="B19" s="2" t="s">
        <v>186</v>
      </c>
      <c r="C19" s="11">
        <f>'2_CALC_KWH'!C13</f>
        <v>1647</v>
      </c>
      <c r="D19" s="34"/>
    </row>
    <row r="20" spans="2:4" ht="19.5" customHeight="1" x14ac:dyDescent="0.25">
      <c r="B20" s="2" t="s">
        <v>122</v>
      </c>
      <c r="C20" s="20">
        <f>'2_CALC_KWH'!C15</f>
        <v>0.44513513513513514</v>
      </c>
      <c r="D20" s="34"/>
    </row>
    <row r="23" spans="2:4" ht="19.5" customHeight="1" x14ac:dyDescent="0.25">
      <c r="B23" s="55" t="s">
        <v>187</v>
      </c>
      <c r="C23" s="55"/>
      <c r="D23" s="55"/>
    </row>
    <row r="24" spans="2:4" ht="18" customHeight="1" x14ac:dyDescent="0.25">
      <c r="B24" s="1" t="s">
        <v>164</v>
      </c>
      <c r="C24" s="1" t="s">
        <v>188</v>
      </c>
      <c r="D24" s="1" t="s">
        <v>189</v>
      </c>
    </row>
    <row r="25" spans="2:4" ht="18.75" customHeight="1" x14ac:dyDescent="0.25">
      <c r="B25" s="37" t="s">
        <v>190</v>
      </c>
      <c r="C25" s="38">
        <f>C4</f>
        <v>45750252.926011249</v>
      </c>
      <c r="D25" s="39" t="str">
        <f>IF(ISNUMBER(C4),IF(C4&gt;0,"✅ VPN &gt; 0 — ACEPTAR","❌ VPN &lt; 0 — RECHAZAR"),"Revisar")</f>
        <v>✅ VPN &gt; 0 — ACEPTAR</v>
      </c>
    </row>
    <row r="26" spans="2:4" ht="18.75" customHeight="1" x14ac:dyDescent="0.25">
      <c r="B26" s="37" t="s">
        <v>191</v>
      </c>
      <c r="C26" s="38">
        <f>C5</f>
        <v>0.31459048801556544</v>
      </c>
      <c r="D26" s="39" t="str">
        <f>IF(ISNUMBER(C5),IF(C5&gt;C6,IF('1_ENTRADA'!C64="SI","✅ TIR &gt; WACC — ACEPTAR","✅ TIR &gt; TMAR — ACEPTAR"),IF('1_ENTRADA'!C64="SI","❌ TIR &lt; WACC — RECHAZAR","❌ TIR &lt; TMAR — RECHAZAR")),"Revisar")</f>
        <v>✅ TIR &gt; WACC — ACEPTAR</v>
      </c>
    </row>
    <row r="27" spans="2:4" ht="18.75" customHeight="1" x14ac:dyDescent="0.25">
      <c r="B27" s="37" t="s">
        <v>192</v>
      </c>
      <c r="C27" s="40">
        <f>C8</f>
        <v>1.4912969005857848</v>
      </c>
      <c r="D27" s="39" t="str">
        <f>IF(ISNUMBER(C8),IF(C8&gt;=1,"✅ B/C ≥ 1 — ACEPTAR","❌ B/C &lt; 1 — RECHAZAR"),"Revisar")</f>
        <v>✅ B/C ≥ 1 — ACEPTAR</v>
      </c>
    </row>
    <row r="28" spans="2:4" ht="18.75" customHeight="1" x14ac:dyDescent="0.25">
      <c r="B28" s="37" t="s">
        <v>193</v>
      </c>
      <c r="C28" s="38">
        <f>C9</f>
        <v>0.75961007224174815</v>
      </c>
      <c r="D28" s="39" t="str">
        <f>IF(ISNUMBER(C9),IF(C9&gt;C6,IF('1_ENTRADA'!C64="SI","✅ ROI &gt; WACC — ACEPTAR","✅ ROI &gt; TMAR — ACEPTAR"),IF('1_ENTRADA'!C64="SI","❌ ROI &lt; WACC — RECHAZAR","❌ ROI &lt; TMAR — RECHAZAR")),"Revisar")</f>
        <v>✅ ROI &gt; WACC — ACEPTAR</v>
      </c>
    </row>
    <row r="29" spans="2:4" ht="18.75" customHeight="1" x14ac:dyDescent="0.25">
      <c r="B29" s="37" t="s">
        <v>194</v>
      </c>
      <c r="C29" s="48">
        <f>C10</f>
        <v>3.1188911246897857</v>
      </c>
      <c r="D29" s="39" t="str">
        <f>IF(ISNUMBER(C10),IF(C10&lt;=5,"✅ ≤ 5 años — EXCELENTE","⚠️ &gt; 5 años — REVISAR"),"Ver flujo")</f>
        <v>✅ ≤ 5 años — EXCELENTE</v>
      </c>
    </row>
  </sheetData>
  <mergeCells count="3">
    <mergeCell ref="B1:D1"/>
    <mergeCell ref="B2:D2"/>
    <mergeCell ref="B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7"/>
  <sheetViews>
    <sheetView showGridLines="0" zoomScale="150" zoomScaleNormal="15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C5" sqref="C5"/>
    </sheetView>
  </sheetViews>
  <sheetFormatPr baseColWidth="10" defaultColWidth="8.5703125" defaultRowHeight="15" x14ac:dyDescent="0.25"/>
  <cols>
    <col min="1" max="1" width="3" customWidth="1"/>
    <col min="2" max="2" width="30" customWidth="1"/>
    <col min="3" max="7" width="20" customWidth="1"/>
  </cols>
  <sheetData>
    <row r="1" spans="2:7" ht="30" customHeight="1" x14ac:dyDescent="0.25">
      <c r="B1" s="56" t="s">
        <v>195</v>
      </c>
      <c r="C1" s="56"/>
      <c r="D1" s="56"/>
      <c r="E1" s="56"/>
      <c r="F1" s="56"/>
      <c r="G1" s="56"/>
    </row>
    <row r="2" spans="2:7" ht="19.5" customHeight="1" x14ac:dyDescent="0.25">
      <c r="B2" s="55" t="s">
        <v>196</v>
      </c>
      <c r="C2" s="55"/>
      <c r="D2" s="55"/>
      <c r="E2" s="55"/>
      <c r="F2" s="55"/>
      <c r="G2" s="55"/>
    </row>
    <row r="3" spans="2:7" ht="18" customHeight="1" x14ac:dyDescent="0.25">
      <c r="B3" s="1" t="s">
        <v>3</v>
      </c>
      <c r="C3" s="1" t="s">
        <v>4</v>
      </c>
    </row>
    <row r="4" spans="2:7" ht="16.5" customHeight="1" x14ac:dyDescent="0.25">
      <c r="B4" s="2" t="s">
        <v>103</v>
      </c>
      <c r="C4" s="7">
        <f>'1_ENTRADA'!C66</f>
        <v>84861000</v>
      </c>
    </row>
    <row r="5" spans="2:7" ht="16.5" customHeight="1" x14ac:dyDescent="0.25">
      <c r="B5" s="2" t="s">
        <v>197</v>
      </c>
      <c r="C5" s="41">
        <f>'1_ENTRADA'!C68</f>
        <v>0.18</v>
      </c>
    </row>
    <row r="6" spans="2:7" ht="16.5" customHeight="1" x14ac:dyDescent="0.25">
      <c r="B6" s="2" t="s">
        <v>198</v>
      </c>
      <c r="C6" s="19">
        <f>'1_ENTRADA'!C67</f>
        <v>5</v>
      </c>
    </row>
    <row r="7" spans="2:7" ht="16.5" customHeight="1" x14ac:dyDescent="0.25">
      <c r="B7" s="2" t="s">
        <v>199</v>
      </c>
      <c r="C7" s="7">
        <f>IF(C4=0,0,-PMT(C5,C6,C4))</f>
        <v>27136667.432547409</v>
      </c>
    </row>
    <row r="8" spans="2:7" ht="16.5" customHeight="1" x14ac:dyDescent="0.25">
      <c r="B8" s="2" t="s">
        <v>200</v>
      </c>
      <c r="C8" s="7">
        <f>IF(C7=0,0,C7/12)</f>
        <v>2261388.9527122839</v>
      </c>
    </row>
    <row r="10" spans="2:7" ht="18" customHeight="1" x14ac:dyDescent="0.25">
      <c r="B10" s="1" t="s">
        <v>201</v>
      </c>
      <c r="C10" s="1" t="s">
        <v>202</v>
      </c>
      <c r="D10" s="1" t="s">
        <v>203</v>
      </c>
      <c r="E10" s="1" t="s">
        <v>204</v>
      </c>
      <c r="F10" s="1" t="s">
        <v>205</v>
      </c>
      <c r="G10" s="1" t="s">
        <v>206</v>
      </c>
    </row>
    <row r="11" spans="2:7" ht="16.5" customHeight="1" x14ac:dyDescent="0.25">
      <c r="B11" s="42">
        <v>0</v>
      </c>
      <c r="C11" s="11">
        <f>C4</f>
        <v>84861000</v>
      </c>
      <c r="D11" s="11">
        <v>0</v>
      </c>
      <c r="E11" s="11">
        <v>0</v>
      </c>
      <c r="F11" s="11">
        <v>0</v>
      </c>
      <c r="G11" s="11">
        <f>C4</f>
        <v>84861000</v>
      </c>
    </row>
    <row r="12" spans="2:7" ht="16.5" customHeight="1" x14ac:dyDescent="0.25">
      <c r="B12" s="42">
        <v>1</v>
      </c>
      <c r="C12" s="11">
        <f t="shared" ref="C12:C36" si="0">G11</f>
        <v>84861000</v>
      </c>
      <c r="D12" s="11">
        <f>IF(1&lt;=C6,C7,0)</f>
        <v>27136667.432547409</v>
      </c>
      <c r="E12" s="11">
        <f>IF(1&lt;=C6,C12*C5,0)</f>
        <v>15274980</v>
      </c>
      <c r="F12" s="11">
        <f>IF(1&lt;=C6,D12-E12,0)</f>
        <v>11861687.432547409</v>
      </c>
      <c r="G12" s="11">
        <f t="shared" ref="G12:G36" si="1">MAX(0,C12-F12)</f>
        <v>72999312.567452595</v>
      </c>
    </row>
    <row r="13" spans="2:7" ht="16.5" customHeight="1" x14ac:dyDescent="0.25">
      <c r="B13" s="42">
        <v>2</v>
      </c>
      <c r="C13" s="11">
        <f t="shared" si="0"/>
        <v>72999312.567452595</v>
      </c>
      <c r="D13" s="11">
        <f>IF(2&lt;=C6,C7,0)</f>
        <v>27136667.432547409</v>
      </c>
      <c r="E13" s="11">
        <f>IF(2&lt;=C6,C13*C5,0)</f>
        <v>13139876.262141466</v>
      </c>
      <c r="F13" s="11">
        <f>IF(2&lt;=C6,D13-E13,0)</f>
        <v>13996791.170405943</v>
      </c>
      <c r="G13" s="11">
        <f t="shared" si="1"/>
        <v>59002521.397046655</v>
      </c>
    </row>
    <row r="14" spans="2:7" ht="16.5" customHeight="1" x14ac:dyDescent="0.25">
      <c r="B14" s="42">
        <v>3</v>
      </c>
      <c r="C14" s="11">
        <f t="shared" si="0"/>
        <v>59002521.397046655</v>
      </c>
      <c r="D14" s="11">
        <f>IF(3&lt;=C6,C7,0)</f>
        <v>27136667.432547409</v>
      </c>
      <c r="E14" s="11">
        <f>IF(3&lt;=C6,C14*C5,0)</f>
        <v>10620453.851468397</v>
      </c>
      <c r="F14" s="11">
        <f>IF(3&lt;=C6,D14-E14,0)</f>
        <v>16516213.581079012</v>
      </c>
      <c r="G14" s="11">
        <f t="shared" si="1"/>
        <v>42486307.815967642</v>
      </c>
    </row>
    <row r="15" spans="2:7" ht="16.5" customHeight="1" x14ac:dyDescent="0.25">
      <c r="B15" s="42">
        <v>4</v>
      </c>
      <c r="C15" s="11">
        <f t="shared" si="0"/>
        <v>42486307.815967642</v>
      </c>
      <c r="D15" s="11">
        <f>IF(4&lt;=C6,C7,0)</f>
        <v>27136667.432547409</v>
      </c>
      <c r="E15" s="11">
        <f>IF(4&lt;=C6,C15*C5,0)</f>
        <v>7647535.4068741752</v>
      </c>
      <c r="F15" s="11">
        <f>IF(4&lt;=C6,D15-E15,0)</f>
        <v>19489132.025673233</v>
      </c>
      <c r="G15" s="11">
        <f t="shared" si="1"/>
        <v>22997175.790294409</v>
      </c>
    </row>
    <row r="16" spans="2:7" ht="16.5" customHeight="1" x14ac:dyDescent="0.25">
      <c r="B16" s="42">
        <v>5</v>
      </c>
      <c r="C16" s="11">
        <f t="shared" si="0"/>
        <v>22997175.790294409</v>
      </c>
      <c r="D16" s="11">
        <f>IF(5&lt;=C6,C7,0)</f>
        <v>27136667.432547409</v>
      </c>
      <c r="E16" s="11">
        <f>IF(5&lt;=C6,C16*C5,0)</f>
        <v>4139491.6422529933</v>
      </c>
      <c r="F16" s="11">
        <f>IF(5&lt;=C6,D16-E16,0)</f>
        <v>22997175.790294416</v>
      </c>
      <c r="G16" s="11">
        <f t="shared" si="1"/>
        <v>0</v>
      </c>
    </row>
    <row r="17" spans="2:7" ht="16.5" customHeight="1" x14ac:dyDescent="0.25">
      <c r="B17" s="42">
        <v>6</v>
      </c>
      <c r="C17" s="11">
        <f t="shared" si="0"/>
        <v>0</v>
      </c>
      <c r="D17" s="11">
        <f>IF(6&lt;=C6,C7,0)</f>
        <v>0</v>
      </c>
      <c r="E17" s="11">
        <f>IF(6&lt;=C6,C17*C5,0)</f>
        <v>0</v>
      </c>
      <c r="F17" s="11">
        <f>IF(6&lt;=C6,D17-E17,0)</f>
        <v>0</v>
      </c>
      <c r="G17" s="11">
        <f t="shared" si="1"/>
        <v>0</v>
      </c>
    </row>
    <row r="18" spans="2:7" ht="16.5" customHeight="1" x14ac:dyDescent="0.25">
      <c r="B18" s="42">
        <v>7</v>
      </c>
      <c r="C18" s="11">
        <f t="shared" si="0"/>
        <v>0</v>
      </c>
      <c r="D18" s="11">
        <f>IF(7&lt;=C6,C7,0)</f>
        <v>0</v>
      </c>
      <c r="E18" s="11">
        <f>IF(7&lt;=C6,C18*C5,0)</f>
        <v>0</v>
      </c>
      <c r="F18" s="11">
        <f>IF(7&lt;=C6,D18-E18,0)</f>
        <v>0</v>
      </c>
      <c r="G18" s="11">
        <f t="shared" si="1"/>
        <v>0</v>
      </c>
    </row>
    <row r="19" spans="2:7" ht="16.5" customHeight="1" x14ac:dyDescent="0.25">
      <c r="B19" s="42">
        <v>8</v>
      </c>
      <c r="C19" s="11">
        <f t="shared" si="0"/>
        <v>0</v>
      </c>
      <c r="D19" s="11">
        <f>IF(8&lt;=C6,C7,0)</f>
        <v>0</v>
      </c>
      <c r="E19" s="11">
        <f>IF(8&lt;=C6,C19*C5,0)</f>
        <v>0</v>
      </c>
      <c r="F19" s="11">
        <f>IF(8&lt;=C6,D19-E19,0)</f>
        <v>0</v>
      </c>
      <c r="G19" s="11">
        <f t="shared" si="1"/>
        <v>0</v>
      </c>
    </row>
    <row r="20" spans="2:7" ht="16.5" customHeight="1" x14ac:dyDescent="0.25">
      <c r="B20" s="42">
        <v>9</v>
      </c>
      <c r="C20" s="11">
        <f t="shared" si="0"/>
        <v>0</v>
      </c>
      <c r="D20" s="11">
        <f>IF(9&lt;=C6,C7,0)</f>
        <v>0</v>
      </c>
      <c r="E20" s="11">
        <f>IF(9&lt;=C6,C20*C5,0)</f>
        <v>0</v>
      </c>
      <c r="F20" s="11">
        <f>IF(9&lt;=C6,D20-E20,0)</f>
        <v>0</v>
      </c>
      <c r="G20" s="11">
        <f t="shared" si="1"/>
        <v>0</v>
      </c>
    </row>
    <row r="21" spans="2:7" ht="16.5" customHeight="1" x14ac:dyDescent="0.25">
      <c r="B21" s="42">
        <v>10</v>
      </c>
      <c r="C21" s="11">
        <f t="shared" si="0"/>
        <v>0</v>
      </c>
      <c r="D21" s="11">
        <f>IF(10&lt;=C6,C7,0)</f>
        <v>0</v>
      </c>
      <c r="E21" s="11">
        <f>IF(10&lt;=C6,C21*C5,0)</f>
        <v>0</v>
      </c>
      <c r="F21" s="11">
        <f>IF(10&lt;=C6,D21-E21,0)</f>
        <v>0</v>
      </c>
      <c r="G21" s="11">
        <f t="shared" si="1"/>
        <v>0</v>
      </c>
    </row>
    <row r="22" spans="2:7" ht="16.5" customHeight="1" x14ac:dyDescent="0.25">
      <c r="B22" s="42">
        <v>11</v>
      </c>
      <c r="C22" s="11">
        <f t="shared" si="0"/>
        <v>0</v>
      </c>
      <c r="D22" s="11">
        <f>IF(11&lt;=C6,C7,0)</f>
        <v>0</v>
      </c>
      <c r="E22" s="11">
        <f>IF(11&lt;=C6,C22*C5,0)</f>
        <v>0</v>
      </c>
      <c r="F22" s="11">
        <f>IF(11&lt;=C6,D22-E22,0)</f>
        <v>0</v>
      </c>
      <c r="G22" s="11">
        <f t="shared" si="1"/>
        <v>0</v>
      </c>
    </row>
    <row r="23" spans="2:7" ht="16.5" customHeight="1" x14ac:dyDescent="0.25">
      <c r="B23" s="42">
        <v>12</v>
      </c>
      <c r="C23" s="11">
        <f t="shared" si="0"/>
        <v>0</v>
      </c>
      <c r="D23" s="11">
        <f>IF(12&lt;=C6,C7,0)</f>
        <v>0</v>
      </c>
      <c r="E23" s="11">
        <f>IF(12&lt;=C6,C23*C5,0)</f>
        <v>0</v>
      </c>
      <c r="F23" s="11">
        <f>IF(12&lt;=C6,D23-E23,0)</f>
        <v>0</v>
      </c>
      <c r="G23" s="11">
        <f t="shared" si="1"/>
        <v>0</v>
      </c>
    </row>
    <row r="24" spans="2:7" ht="16.5" customHeight="1" x14ac:dyDescent="0.25">
      <c r="B24" s="42">
        <v>13</v>
      </c>
      <c r="C24" s="11">
        <f t="shared" si="0"/>
        <v>0</v>
      </c>
      <c r="D24" s="11">
        <f>IF(13&lt;=C6,C7,0)</f>
        <v>0</v>
      </c>
      <c r="E24" s="11">
        <f>IF(13&lt;=C6,C24*C5,0)</f>
        <v>0</v>
      </c>
      <c r="F24" s="11">
        <f>IF(13&lt;=C6,D24-E24,0)</f>
        <v>0</v>
      </c>
      <c r="G24" s="11">
        <f t="shared" si="1"/>
        <v>0</v>
      </c>
    </row>
    <row r="25" spans="2:7" ht="16.5" customHeight="1" x14ac:dyDescent="0.25">
      <c r="B25" s="42">
        <v>14</v>
      </c>
      <c r="C25" s="11">
        <f t="shared" si="0"/>
        <v>0</v>
      </c>
      <c r="D25" s="11">
        <f>IF(14&lt;=C6,C7,0)</f>
        <v>0</v>
      </c>
      <c r="E25" s="11">
        <f>IF(14&lt;=C6,C25*C5,0)</f>
        <v>0</v>
      </c>
      <c r="F25" s="11">
        <f>IF(14&lt;=C6,D25-E25,0)</f>
        <v>0</v>
      </c>
      <c r="G25" s="11">
        <f t="shared" si="1"/>
        <v>0</v>
      </c>
    </row>
    <row r="26" spans="2:7" ht="16.5" customHeight="1" x14ac:dyDescent="0.25">
      <c r="B26" s="42">
        <v>15</v>
      </c>
      <c r="C26" s="11">
        <f t="shared" si="0"/>
        <v>0</v>
      </c>
      <c r="D26" s="11">
        <f>IF(15&lt;=C6,C7,0)</f>
        <v>0</v>
      </c>
      <c r="E26" s="11">
        <f>IF(15&lt;=C6,C26*C5,0)</f>
        <v>0</v>
      </c>
      <c r="F26" s="11">
        <f>IF(15&lt;=C6,D26-E26,0)</f>
        <v>0</v>
      </c>
      <c r="G26" s="11">
        <f t="shared" si="1"/>
        <v>0</v>
      </c>
    </row>
    <row r="27" spans="2:7" ht="16.5" customHeight="1" x14ac:dyDescent="0.25">
      <c r="B27" s="42">
        <v>16</v>
      </c>
      <c r="C27" s="11">
        <f t="shared" si="0"/>
        <v>0</v>
      </c>
      <c r="D27" s="11">
        <f>IF(16&lt;=C6,C7,0)</f>
        <v>0</v>
      </c>
      <c r="E27" s="11">
        <f>IF(16&lt;=C6,C27*C5,0)</f>
        <v>0</v>
      </c>
      <c r="F27" s="11">
        <f>IF(16&lt;=C6,D27-E27,0)</f>
        <v>0</v>
      </c>
      <c r="G27" s="11">
        <f t="shared" si="1"/>
        <v>0</v>
      </c>
    </row>
    <row r="28" spans="2:7" ht="16.5" customHeight="1" x14ac:dyDescent="0.25">
      <c r="B28" s="42">
        <v>17</v>
      </c>
      <c r="C28" s="11">
        <f t="shared" si="0"/>
        <v>0</v>
      </c>
      <c r="D28" s="11">
        <f>IF(17&lt;=C6,C7,0)</f>
        <v>0</v>
      </c>
      <c r="E28" s="11">
        <f>IF(17&lt;=C6,C28*C5,0)</f>
        <v>0</v>
      </c>
      <c r="F28" s="11">
        <f>IF(17&lt;=C6,D28-E28,0)</f>
        <v>0</v>
      </c>
      <c r="G28" s="11">
        <f t="shared" si="1"/>
        <v>0</v>
      </c>
    </row>
    <row r="29" spans="2:7" ht="16.5" customHeight="1" x14ac:dyDescent="0.25">
      <c r="B29" s="42">
        <v>18</v>
      </c>
      <c r="C29" s="11">
        <f t="shared" si="0"/>
        <v>0</v>
      </c>
      <c r="D29" s="11">
        <f>IF(18&lt;=C6,C7,0)</f>
        <v>0</v>
      </c>
      <c r="E29" s="11">
        <f>IF(18&lt;=C6,C29*C5,0)</f>
        <v>0</v>
      </c>
      <c r="F29" s="11">
        <f>IF(18&lt;=C6,D29-E29,0)</f>
        <v>0</v>
      </c>
      <c r="G29" s="11">
        <f t="shared" si="1"/>
        <v>0</v>
      </c>
    </row>
    <row r="30" spans="2:7" ht="16.5" customHeight="1" x14ac:dyDescent="0.25">
      <c r="B30" s="42">
        <v>19</v>
      </c>
      <c r="C30" s="11">
        <f t="shared" si="0"/>
        <v>0</v>
      </c>
      <c r="D30" s="11">
        <f>IF(19&lt;=C6,C7,0)</f>
        <v>0</v>
      </c>
      <c r="E30" s="11">
        <f>IF(19&lt;=C6,C30*C5,0)</f>
        <v>0</v>
      </c>
      <c r="F30" s="11">
        <f>IF(19&lt;=C6,D30-E30,0)</f>
        <v>0</v>
      </c>
      <c r="G30" s="11">
        <f t="shared" si="1"/>
        <v>0</v>
      </c>
    </row>
    <row r="31" spans="2:7" ht="16.5" customHeight="1" x14ac:dyDescent="0.25">
      <c r="B31" s="42">
        <v>20</v>
      </c>
      <c r="C31" s="11">
        <f t="shared" si="0"/>
        <v>0</v>
      </c>
      <c r="D31" s="11">
        <f>IF(20&lt;=C6,C7,0)</f>
        <v>0</v>
      </c>
      <c r="E31" s="11">
        <f>IF(20&lt;=C6,C31*C5,0)</f>
        <v>0</v>
      </c>
      <c r="F31" s="11">
        <f>IF(20&lt;=C6,D31-E31,0)</f>
        <v>0</v>
      </c>
      <c r="G31" s="11">
        <f t="shared" si="1"/>
        <v>0</v>
      </c>
    </row>
    <row r="32" spans="2:7" ht="16.5" customHeight="1" x14ac:dyDescent="0.25">
      <c r="B32" s="42">
        <v>21</v>
      </c>
      <c r="C32" s="11">
        <f t="shared" si="0"/>
        <v>0</v>
      </c>
      <c r="D32" s="11">
        <f>IF(21&lt;=C6,C7,0)</f>
        <v>0</v>
      </c>
      <c r="E32" s="11">
        <f>IF(21&lt;=C6,C32*C5,0)</f>
        <v>0</v>
      </c>
      <c r="F32" s="11">
        <f>IF(21&lt;=C6,D32-E32,0)</f>
        <v>0</v>
      </c>
      <c r="G32" s="11">
        <f t="shared" si="1"/>
        <v>0</v>
      </c>
    </row>
    <row r="33" spans="2:7" ht="16.5" customHeight="1" x14ac:dyDescent="0.25">
      <c r="B33" s="42">
        <v>22</v>
      </c>
      <c r="C33" s="11">
        <f t="shared" si="0"/>
        <v>0</v>
      </c>
      <c r="D33" s="11">
        <f>IF(22&lt;=C6,C7,0)</f>
        <v>0</v>
      </c>
      <c r="E33" s="11">
        <f>IF(22&lt;=C6,C33*C5,0)</f>
        <v>0</v>
      </c>
      <c r="F33" s="11">
        <f>IF(22&lt;=C6,D33-E33,0)</f>
        <v>0</v>
      </c>
      <c r="G33" s="11">
        <f t="shared" si="1"/>
        <v>0</v>
      </c>
    </row>
    <row r="34" spans="2:7" ht="16.5" customHeight="1" x14ac:dyDescent="0.25">
      <c r="B34" s="42">
        <v>23</v>
      </c>
      <c r="C34" s="11">
        <f t="shared" si="0"/>
        <v>0</v>
      </c>
      <c r="D34" s="11">
        <f>IF(23&lt;=C6,C7,0)</f>
        <v>0</v>
      </c>
      <c r="E34" s="11">
        <f>IF(23&lt;=C6,C34*C5,0)</f>
        <v>0</v>
      </c>
      <c r="F34" s="11">
        <f>IF(23&lt;=C6,D34-E34,0)</f>
        <v>0</v>
      </c>
      <c r="G34" s="11">
        <f t="shared" si="1"/>
        <v>0</v>
      </c>
    </row>
    <row r="35" spans="2:7" ht="16.5" customHeight="1" x14ac:dyDescent="0.25">
      <c r="B35" s="42">
        <v>24</v>
      </c>
      <c r="C35" s="11">
        <f t="shared" si="0"/>
        <v>0</v>
      </c>
      <c r="D35" s="11">
        <f>IF(24&lt;=C6,C7,0)</f>
        <v>0</v>
      </c>
      <c r="E35" s="11">
        <f>IF(24&lt;=C6,C35*C5,0)</f>
        <v>0</v>
      </c>
      <c r="F35" s="11">
        <f>IF(24&lt;=C6,D35-E35,0)</f>
        <v>0</v>
      </c>
      <c r="G35" s="11">
        <f t="shared" si="1"/>
        <v>0</v>
      </c>
    </row>
    <row r="36" spans="2:7" ht="16.5" customHeight="1" x14ac:dyDescent="0.25">
      <c r="B36" s="42">
        <v>25</v>
      </c>
      <c r="C36" s="11">
        <f t="shared" si="0"/>
        <v>0</v>
      </c>
      <c r="D36" s="11">
        <f>IF(25&lt;=C6,C7,0)</f>
        <v>0</v>
      </c>
      <c r="E36" s="11">
        <f>IF(25&lt;=C6,C36*C5,0)</f>
        <v>0</v>
      </c>
      <c r="F36" s="11">
        <f>IF(25&lt;=C6,D36-E36,0)</f>
        <v>0</v>
      </c>
      <c r="G36" s="11">
        <f t="shared" si="1"/>
        <v>0</v>
      </c>
    </row>
    <row r="37" spans="2:7" ht="18" customHeight="1" x14ac:dyDescent="0.25">
      <c r="B37" s="43" t="s">
        <v>207</v>
      </c>
      <c r="C37" s="44"/>
      <c r="D37" s="45">
        <f>SUM(D12:D36)</f>
        <v>135683337.16273704</v>
      </c>
      <c r="E37" s="45">
        <f>SUM(E12:E36)</f>
        <v>50822337.162737034</v>
      </c>
      <c r="F37" s="45">
        <f>SUM(F12:F36)</f>
        <v>84861000.000000015</v>
      </c>
      <c r="G37" s="44"/>
    </row>
  </sheetData>
  <mergeCells count="2">
    <mergeCell ref="B1:G1"/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2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0" sqref="A20"/>
      <selection pane="bottomRight" activeCell="B1" sqref="B1:C1"/>
    </sheetView>
  </sheetViews>
  <sheetFormatPr baseColWidth="10" defaultColWidth="8.5703125" defaultRowHeight="15" x14ac:dyDescent="0.25"/>
  <cols>
    <col min="1" max="1" width="3" customWidth="1"/>
    <col min="2" max="2" width="42" customWidth="1"/>
    <col min="3" max="3" width="26" customWidth="1"/>
  </cols>
  <sheetData>
    <row r="1" spans="2:3" ht="33.75" customHeight="1" x14ac:dyDescent="0.25">
      <c r="B1" s="56" t="s">
        <v>208</v>
      </c>
      <c r="C1" s="56"/>
    </row>
    <row r="2" spans="2:3" ht="19.5" customHeight="1" x14ac:dyDescent="0.25">
      <c r="B2" s="55" t="s">
        <v>209</v>
      </c>
      <c r="C2" s="55"/>
    </row>
    <row r="3" spans="2:3" ht="18.75" customHeight="1" x14ac:dyDescent="0.25">
      <c r="B3" s="2" t="s">
        <v>210</v>
      </c>
      <c r="C3" s="46" t="str">
        <f>'1_ENTRADA'!C5</f>
        <v>Proyecto Fotovoltaico On-Grid</v>
      </c>
    </row>
    <row r="4" spans="2:3" ht="18.75" customHeight="1" x14ac:dyDescent="0.25">
      <c r="B4" s="2" t="s">
        <v>10</v>
      </c>
      <c r="C4" s="46" t="str">
        <f>'1_ENTRADA'!C6</f>
        <v>Suegra</v>
      </c>
    </row>
    <row r="5" spans="2:3" ht="18.75" customHeight="1" x14ac:dyDescent="0.25">
      <c r="B5" s="2" t="s">
        <v>11</v>
      </c>
      <c r="C5" s="46" t="str">
        <f>'1_ENTRADA'!C7</f>
        <v>Riohacha, La Guajira</v>
      </c>
    </row>
    <row r="6" spans="2:3" ht="18.75" customHeight="1" x14ac:dyDescent="0.25">
      <c r="B6" s="2" t="s">
        <v>12</v>
      </c>
      <c r="C6" s="46" t="str">
        <f>'1_ENTRADA'!C8</f>
        <v>AIR-E</v>
      </c>
    </row>
    <row r="8" spans="2:3" ht="19.5" customHeight="1" x14ac:dyDescent="0.25">
      <c r="B8" s="55" t="s">
        <v>211</v>
      </c>
      <c r="C8" s="55"/>
    </row>
    <row r="9" spans="2:3" ht="18.75" customHeight="1" x14ac:dyDescent="0.25">
      <c r="B9" s="2" t="s">
        <v>212</v>
      </c>
      <c r="C9" s="46" t="str">
        <f>'2_CALC_KWH'!C6&amp;" kWp"</f>
        <v>12.2 kWp</v>
      </c>
    </row>
    <row r="10" spans="2:3" ht="18.75" customHeight="1" x14ac:dyDescent="0.25">
      <c r="B10" s="2" t="s">
        <v>213</v>
      </c>
      <c r="C10" s="46" t="str">
        <f>'2_CALC_KWH'!C13&amp;" kWh/mes"</f>
        <v>1647 kWh/mes</v>
      </c>
    </row>
    <row r="11" spans="2:3" ht="18.75" customHeight="1" x14ac:dyDescent="0.25">
      <c r="B11" s="2" t="s">
        <v>214</v>
      </c>
      <c r="C11" s="46" t="str">
        <f>'1_ENTRADA'!C20&amp;" kWh/mes"</f>
        <v>3700 kWh/mes</v>
      </c>
    </row>
    <row r="12" spans="2:3" ht="18.75" customHeight="1" x14ac:dyDescent="0.25">
      <c r="B12" s="2" t="s">
        <v>215</v>
      </c>
      <c r="C12" s="46" t="str">
        <f>TEXT('2_CALC_KWH'!C15,"0.0%")</f>
        <v>44.5%</v>
      </c>
    </row>
    <row r="13" spans="2:3" ht="18.75" customHeight="1" x14ac:dyDescent="0.25">
      <c r="B13" s="2" t="s">
        <v>216</v>
      </c>
      <c r="C13" s="54" t="str">
        <f>TEXT('2_CALC_KWH'!C25,"#,##0")&amp;" COP/mes"</f>
        <v>1,467,477 COP/mes</v>
      </c>
    </row>
    <row r="15" spans="2:3" ht="19.5" customHeight="1" x14ac:dyDescent="0.25">
      <c r="B15" s="55" t="s">
        <v>217</v>
      </c>
      <c r="C15" s="55"/>
    </row>
    <row r="16" spans="2:3" ht="18.75" customHeight="1" x14ac:dyDescent="0.25">
      <c r="B16" s="2" t="s">
        <v>218</v>
      </c>
      <c r="C16" s="7">
        <f>'1_ENTRADA'!E47</f>
        <v>121230000</v>
      </c>
    </row>
    <row r="17" spans="2:3" ht="18.75" customHeight="1" x14ac:dyDescent="0.25">
      <c r="B17" s="2" t="s">
        <v>219</v>
      </c>
      <c r="C17" s="7">
        <f>'1_ENTRADA'!E48</f>
        <v>60615000</v>
      </c>
    </row>
    <row r="18" spans="2:3" ht="18.75" customHeight="1" x14ac:dyDescent="0.25">
      <c r="B18" s="2" t="s">
        <v>220</v>
      </c>
      <c r="C18" s="7">
        <f>'1_ENTRADA'!E49</f>
        <v>60615000</v>
      </c>
    </row>
    <row r="19" spans="2:3" ht="18.75" customHeight="1" x14ac:dyDescent="0.25">
      <c r="B19" s="2" t="s">
        <v>221</v>
      </c>
      <c r="C19" s="21">
        <f>'4_INDICADORES'!C4</f>
        <v>45750252.926011249</v>
      </c>
    </row>
    <row r="20" spans="2:3" ht="18.75" customHeight="1" x14ac:dyDescent="0.25">
      <c r="B20" s="2" t="s">
        <v>222</v>
      </c>
      <c r="C20" s="35">
        <f>'4_INDICADORES'!C5</f>
        <v>0.31459048801556544</v>
      </c>
    </row>
    <row r="21" spans="2:3" ht="18.75" customHeight="1" x14ac:dyDescent="0.25">
      <c r="B21" s="2" t="s">
        <v>223</v>
      </c>
      <c r="C21" s="36">
        <f>'4_INDICADORES'!C8</f>
        <v>1.4912969005857848</v>
      </c>
    </row>
    <row r="22" spans="2:3" ht="18.75" customHeight="1" x14ac:dyDescent="0.25">
      <c r="B22" s="2" t="s">
        <v>224</v>
      </c>
      <c r="C22" s="41">
        <f>'4_INDICADORES'!C9</f>
        <v>0.75961007224174815</v>
      </c>
    </row>
    <row r="23" spans="2:3" ht="18.75" customHeight="1" x14ac:dyDescent="0.25">
      <c r="B23" s="2" t="s">
        <v>225</v>
      </c>
      <c r="C23" s="46">
        <f>'4_INDICADORES'!C10</f>
        <v>3.1188911246897857</v>
      </c>
    </row>
    <row r="24" spans="2:3" ht="18.75" customHeight="1" x14ac:dyDescent="0.25">
      <c r="B24" s="2" t="s">
        <v>226</v>
      </c>
      <c r="C24" s="46">
        <f>'4_INDICADORES'!C11</f>
        <v>3.9425864965280502</v>
      </c>
    </row>
    <row r="25" spans="2:3" ht="18.75" customHeight="1" x14ac:dyDescent="0.25">
      <c r="B25" s="2" t="s">
        <v>227</v>
      </c>
      <c r="C25" s="41">
        <f>'4_INDICADORES'!C12</f>
        <v>0.12042</v>
      </c>
    </row>
    <row r="27" spans="2:3" ht="19.5" customHeight="1" x14ac:dyDescent="0.25">
      <c r="B27" s="55" t="s">
        <v>228</v>
      </c>
      <c r="C27" s="55"/>
    </row>
    <row r="28" spans="2:3" ht="27.75" customHeight="1" x14ac:dyDescent="0.25">
      <c r="B28" s="62" t="str">
        <f>'4_INDICADORES'!D7</f>
        <v>Criterio de decisión principal</v>
      </c>
      <c r="C28" s="62"/>
    </row>
  </sheetData>
  <mergeCells count="6">
    <mergeCell ref="B28:C28"/>
    <mergeCell ref="B1:C1"/>
    <mergeCell ref="B2:C2"/>
    <mergeCell ref="B8:C8"/>
    <mergeCell ref="B15:C15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Claude Log</vt:lpstr>
      <vt:lpstr>1_ENTRADA</vt:lpstr>
      <vt:lpstr>2_CALC_KWH</vt:lpstr>
      <vt:lpstr>3_FLUJO_CAJA</vt:lpstr>
      <vt:lpstr>4_INDICADORES</vt:lpstr>
      <vt:lpstr>5_AMORTIZACION</vt:lpstr>
      <vt:lpstr>6_RESUMEN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Alejandro Pérez Torres</cp:lastModifiedBy>
  <cp:revision>0</cp:revision>
  <dcterms:created xsi:type="dcterms:W3CDTF">2026-03-12T21:04:07Z</dcterms:created>
  <dcterms:modified xsi:type="dcterms:W3CDTF">2026-09-12T18:15:55Z</dcterms:modified>
  <dc:language>en-US</dc:language>
</cp:coreProperties>
</file>